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kash\OneDrive\Desktop\My Portfolio\Excel\Bank Loan Portfolio Risk &amp; Stress Testing System\PROJECT\"/>
    </mc:Choice>
  </mc:AlternateContent>
  <xr:revisionPtr revIDLastSave="0" documentId="13_ncr:1_{81C385F5-0B53-41C9-A36C-B9A05D72885E}" xr6:coauthVersionLast="47" xr6:coauthVersionMax="47" xr10:uidLastSave="{00000000-0000-0000-0000-000000000000}"/>
  <bookViews>
    <workbookView xWindow="-108" yWindow="-108" windowWidth="23256" windowHeight="12456" tabRatio="500" firstSheet="1" activeTab="1" xr2:uid="{00000000-000D-0000-FFFF-FFFF00000000}"/>
  </bookViews>
  <sheets>
    <sheet name="📋 Contents" sheetId="1" r:id="rId1"/>
    <sheet name="1. Raw Loan Data" sheetId="2" r:id="rId2"/>
    <sheet name="2. Data Cleaning" sheetId="3" r:id="rId3"/>
    <sheet name="3. Credit Risk Scorecard" sheetId="4" r:id="rId4"/>
    <sheet name="4. PD Model" sheetId="5" r:id="rId5"/>
    <sheet name="5. ECL Model" sheetId="6" r:id="rId6"/>
    <sheet name="6. Stress Testing" sheetId="7" r:id="rId7"/>
    <sheet name="7. Dashboard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2" i="5" l="1"/>
  <c r="F11" i="5"/>
  <c r="F10" i="5"/>
  <c r="F9" i="5"/>
  <c r="F8" i="5"/>
  <c r="F7" i="5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D12" i="3"/>
  <c r="D11" i="3"/>
  <c r="D9" i="3"/>
  <c r="D8" i="3"/>
  <c r="D7" i="3"/>
  <c r="M206" i="2"/>
  <c r="L206" i="2"/>
  <c r="E206" i="2"/>
  <c r="D206" i="2"/>
  <c r="C206" i="2"/>
  <c r="C10" i="3" s="1"/>
  <c r="D10" i="3" s="1"/>
</calcChain>
</file>

<file path=xl/sharedStrings.xml><?xml version="1.0" encoding="utf-8"?>
<sst xmlns="http://schemas.openxmlformats.org/spreadsheetml/2006/main" count="3994" uniqueCount="561">
  <si>
    <t>🏦  BANK LOAN PORTFOLIO RISK &amp; STRESS TESTING SYSTEM</t>
  </si>
  <si>
    <t>Advanced Excel Risk Model  |  Basel III / IFRS 9 Inspired  |  Kaggle Loan Default Dataset  |  5,000 Loans</t>
  </si>
  <si>
    <t>Sheet #</t>
  </si>
  <si>
    <t>Sheet Name</t>
  </si>
  <si>
    <t>Purpose</t>
  </si>
  <si>
    <t>Key Tools Used</t>
  </si>
  <si>
    <t>Output Metric</t>
  </si>
  <si>
    <t>Status</t>
  </si>
  <si>
    <t>📄 Sheet 1</t>
  </si>
  <si>
    <t>Raw Loan Data</t>
  </si>
  <si>
    <t>Source data with all 200 display records</t>
  </si>
  <si>
    <t>Data Import, Number Formatting</t>
  </si>
  <si>
    <t>Portfolio View</t>
  </si>
  <si>
    <t>✅ Complete</t>
  </si>
  <si>
    <t>🔍 Sheet 2</t>
  </si>
  <si>
    <t>Data Cleaning</t>
  </si>
  <si>
    <t>Quality checks, nulls, standardization</t>
  </si>
  <si>
    <t>IFERROR, XLOOKUP, IF formulas</t>
  </si>
  <si>
    <t>Clean Dataset</t>
  </si>
  <si>
    <t>📊 Sheet 3</t>
  </si>
  <si>
    <t>Credit Risk Scorecard</t>
  </si>
  <si>
    <t>Factor-based internal scoring model</t>
  </si>
  <si>
    <t>IF, SUM, Weighted Scoring</t>
  </si>
  <si>
    <t>Risk Score 0–100</t>
  </si>
  <si>
    <t>📉 Sheet 4</t>
  </si>
  <si>
    <t>PD Model</t>
  </si>
  <si>
    <t>Probability of Default by risk band</t>
  </si>
  <si>
    <t>VLOOKUP logic, PD × bands</t>
  </si>
  <si>
    <t>PD 2%–18%</t>
  </si>
  <si>
    <t>💰 Sheet 5</t>
  </si>
  <si>
    <t>ECL Model</t>
  </si>
  <si>
    <t>Expected Credit Loss (IFRS 9 / Basel)</t>
  </si>
  <si>
    <t>PD × LGD × EAD formula</t>
  </si>
  <si>
    <t>ECL per loan</t>
  </si>
  <si>
    <t>⚡ Sheet 6</t>
  </si>
  <si>
    <t>Stress Testing</t>
  </si>
  <si>
    <t>Scenario analysis: Base/Mild/Severe</t>
  </si>
  <si>
    <t>Scenario tables, multipliers</t>
  </si>
  <si>
    <t>Stressed ECL</t>
  </si>
  <si>
    <t>📈 Sheet 7</t>
  </si>
  <si>
    <t>Dashboard</t>
  </si>
  <si>
    <t>Executive KPI &amp; chart summary</t>
  </si>
  <si>
    <t>PivotCharts, KPI cards</t>
  </si>
  <si>
    <t>Visual Summary</t>
  </si>
  <si>
    <t>MODEL OVERVIEW &amp; METHODOLOGY</t>
  </si>
  <si>
    <t>Dataset</t>
  </si>
  <si>
    <t>Kaggle Loan Risk Prediction Dataset — 5,000 records, 10 features</t>
  </si>
  <si>
    <t>Risk Framework</t>
  </si>
  <si>
    <t>Basel III Pillar 1 &amp; 2 + IFRS 9 Stage Classification</t>
  </si>
  <si>
    <t>Scoring Model</t>
  </si>
  <si>
    <t>Weighted factor scorecard: Credit Score (30%), DTI (20%), Income (15%), Employment (15%), Exp (10%), Default History (10%)</t>
  </si>
  <si>
    <t>ECL Formula</t>
  </si>
  <si>
    <t>ECL = PD × LGD × EAD  |  PD: 2–18%  |  LGD: 40–65%  |  EAD: Loan Outstanding</t>
  </si>
  <si>
    <t>Stress Scenarios</t>
  </si>
  <si>
    <t>Base (0% shock) / Mild (+20% PD, +2% rate) / Severe (+50% PD, +4% rate)</t>
  </si>
  <si>
    <t>Color Legend</t>
  </si>
  <si>
    <t>🔵 Blue = Hardcoded Input  |  ⚫ Black = Formula  |  🟢 Green = Cross-Sheet Link  |  🟡 Yellow = User Input Cell</t>
  </si>
  <si>
    <t>Author</t>
  </si>
  <si>
    <t>Built with Advanced Excel — openpyxl | For Banking / Big4 / FinTech Portfolio Project</t>
  </si>
  <si>
    <t>🏦  Bank Loan Portfolio Risk &amp; Stress Testing System</t>
  </si>
  <si>
    <t>Sheet 1 of 7  |  Raw Loan Data  |  Source: Kaggle Loan Default / Credit Risk Dataset  |  5,000 Records</t>
  </si>
  <si>
    <t>Loan_ID</t>
  </si>
  <si>
    <t>Age</t>
  </si>
  <si>
    <t>Income ($)</t>
  </si>
  <si>
    <t>Loan Amount ($)</t>
  </si>
  <si>
    <t>Credit Score</t>
  </si>
  <si>
    <t>Years Exp.</t>
  </si>
  <si>
    <t>Gender</t>
  </si>
  <si>
    <t>Education</t>
  </si>
  <si>
    <t>City</t>
  </si>
  <si>
    <t>Employment Type</t>
  </si>
  <si>
    <t>Tenure (Mo.)</t>
  </si>
  <si>
    <t>Interest Rate (%)</t>
  </si>
  <si>
    <t>DTI Ratio</t>
  </si>
  <si>
    <t>Loan Status</t>
  </si>
  <si>
    <t>LN01001</t>
  </si>
  <si>
    <t>Female</t>
  </si>
  <si>
    <t>High School</t>
  </si>
  <si>
    <t>Houston</t>
  </si>
  <si>
    <t>Unemployed</t>
  </si>
  <si>
    <t>Rejected</t>
  </si>
  <si>
    <t>LN01002</t>
  </si>
  <si>
    <t>Male</t>
  </si>
  <si>
    <t>San Francisco</t>
  </si>
  <si>
    <t>Self-Employed</t>
  </si>
  <si>
    <t>LN01003</t>
  </si>
  <si>
    <t>PhD</t>
  </si>
  <si>
    <t>Approved</t>
  </si>
  <si>
    <t>LN01004</t>
  </si>
  <si>
    <t>Unknown</t>
  </si>
  <si>
    <t>New York</t>
  </si>
  <si>
    <t>LN01005</t>
  </si>
  <si>
    <t>Chicago</t>
  </si>
  <si>
    <t>LN01006</t>
  </si>
  <si>
    <t>Masters</t>
  </si>
  <si>
    <t>Salaried</t>
  </si>
  <si>
    <t>LN01007</t>
  </si>
  <si>
    <t>LN01008</t>
  </si>
  <si>
    <t>LN01009</t>
  </si>
  <si>
    <t>Bachelors</t>
  </si>
  <si>
    <t>LN01010</t>
  </si>
  <si>
    <t>LN01011</t>
  </si>
  <si>
    <t>LN01012</t>
  </si>
  <si>
    <t>LN01013</t>
  </si>
  <si>
    <t>LN01014</t>
  </si>
  <si>
    <t>LN01015</t>
  </si>
  <si>
    <t>LN01016</t>
  </si>
  <si>
    <t>LN01017</t>
  </si>
  <si>
    <t>LN01018</t>
  </si>
  <si>
    <t>LN01019</t>
  </si>
  <si>
    <t>LN01020</t>
  </si>
  <si>
    <t>LN01021</t>
  </si>
  <si>
    <t>LN01022</t>
  </si>
  <si>
    <t>LN01023</t>
  </si>
  <si>
    <t>LN01024</t>
  </si>
  <si>
    <t>LN01025</t>
  </si>
  <si>
    <t>LN01026</t>
  </si>
  <si>
    <t>LN01027</t>
  </si>
  <si>
    <t>LN01028</t>
  </si>
  <si>
    <t>LN01029</t>
  </si>
  <si>
    <t>LN01030</t>
  </si>
  <si>
    <t>LN01031</t>
  </si>
  <si>
    <t>LN01032</t>
  </si>
  <si>
    <t>LN01033</t>
  </si>
  <si>
    <t>LN01034</t>
  </si>
  <si>
    <t>LN01035</t>
  </si>
  <si>
    <t>LN01036</t>
  </si>
  <si>
    <t>LN01037</t>
  </si>
  <si>
    <t>LN01038</t>
  </si>
  <si>
    <t>LN01039</t>
  </si>
  <si>
    <t>LN01040</t>
  </si>
  <si>
    <t>LN01041</t>
  </si>
  <si>
    <t>LN01042</t>
  </si>
  <si>
    <t>LN01043</t>
  </si>
  <si>
    <t>LN01044</t>
  </si>
  <si>
    <t>LN01045</t>
  </si>
  <si>
    <t>LN01046</t>
  </si>
  <si>
    <t>LN01047</t>
  </si>
  <si>
    <t>LN01048</t>
  </si>
  <si>
    <t>LN01049</t>
  </si>
  <si>
    <t>LN01050</t>
  </si>
  <si>
    <t>LN01051</t>
  </si>
  <si>
    <t>LN01052</t>
  </si>
  <si>
    <t>LN01053</t>
  </si>
  <si>
    <t>LN01054</t>
  </si>
  <si>
    <t>LN01055</t>
  </si>
  <si>
    <t>LN01056</t>
  </si>
  <si>
    <t>LN01057</t>
  </si>
  <si>
    <t>LN01058</t>
  </si>
  <si>
    <t>LN01059</t>
  </si>
  <si>
    <t>LN01060</t>
  </si>
  <si>
    <t>LN01061</t>
  </si>
  <si>
    <t>LN01062</t>
  </si>
  <si>
    <t>LN01063</t>
  </si>
  <si>
    <t>LN01064</t>
  </si>
  <si>
    <t>LN01065</t>
  </si>
  <si>
    <t>LN01066</t>
  </si>
  <si>
    <t>LN01067</t>
  </si>
  <si>
    <t>LN01068</t>
  </si>
  <si>
    <t>LN01069</t>
  </si>
  <si>
    <t>LN01070</t>
  </si>
  <si>
    <t>LN01071</t>
  </si>
  <si>
    <t>LN01072</t>
  </si>
  <si>
    <t>LN01073</t>
  </si>
  <si>
    <t>LN01074</t>
  </si>
  <si>
    <t>LN01075</t>
  </si>
  <si>
    <t>LN01076</t>
  </si>
  <si>
    <t>LN01077</t>
  </si>
  <si>
    <t>LN01078</t>
  </si>
  <si>
    <t>LN01079</t>
  </si>
  <si>
    <t>LN01080</t>
  </si>
  <si>
    <t>LN01081</t>
  </si>
  <si>
    <t>LN01082</t>
  </si>
  <si>
    <t>LN01083</t>
  </si>
  <si>
    <t>LN01084</t>
  </si>
  <si>
    <t>LN01085</t>
  </si>
  <si>
    <t>LN01086</t>
  </si>
  <si>
    <t>LN01087</t>
  </si>
  <si>
    <t>LN01088</t>
  </si>
  <si>
    <t>LN01089</t>
  </si>
  <si>
    <t>LN01090</t>
  </si>
  <si>
    <t>LN01091</t>
  </si>
  <si>
    <t>LN01092</t>
  </si>
  <si>
    <t>LN01093</t>
  </si>
  <si>
    <t>LN01094</t>
  </si>
  <si>
    <t>LN01095</t>
  </si>
  <si>
    <t>LN01096</t>
  </si>
  <si>
    <t>LN01097</t>
  </si>
  <si>
    <t>LN01098</t>
  </si>
  <si>
    <t>LN01099</t>
  </si>
  <si>
    <t>LN01100</t>
  </si>
  <si>
    <t>LN01101</t>
  </si>
  <si>
    <t>LN01102</t>
  </si>
  <si>
    <t>LN01103</t>
  </si>
  <si>
    <t>LN01104</t>
  </si>
  <si>
    <t>LN01105</t>
  </si>
  <si>
    <t>LN01106</t>
  </si>
  <si>
    <t>LN01107</t>
  </si>
  <si>
    <t>LN01108</t>
  </si>
  <si>
    <t>LN01109</t>
  </si>
  <si>
    <t>LN01110</t>
  </si>
  <si>
    <t>LN01111</t>
  </si>
  <si>
    <t>LN01112</t>
  </si>
  <si>
    <t>LN01113</t>
  </si>
  <si>
    <t>LN01114</t>
  </si>
  <si>
    <t>LN01115</t>
  </si>
  <si>
    <t>LN01116</t>
  </si>
  <si>
    <t>LN01117</t>
  </si>
  <si>
    <t>LN01118</t>
  </si>
  <si>
    <t>LN01119</t>
  </si>
  <si>
    <t>LN01120</t>
  </si>
  <si>
    <t>LN01121</t>
  </si>
  <si>
    <t>LN01122</t>
  </si>
  <si>
    <t>LN01123</t>
  </si>
  <si>
    <t>LN01124</t>
  </si>
  <si>
    <t>LN01125</t>
  </si>
  <si>
    <t>LN01126</t>
  </si>
  <si>
    <t>LN01127</t>
  </si>
  <si>
    <t>LN01128</t>
  </si>
  <si>
    <t>LN01129</t>
  </si>
  <si>
    <t>LN01130</t>
  </si>
  <si>
    <t>LN01131</t>
  </si>
  <si>
    <t>LN01132</t>
  </si>
  <si>
    <t>LN01133</t>
  </si>
  <si>
    <t>LN01134</t>
  </si>
  <si>
    <t>LN01135</t>
  </si>
  <si>
    <t>LN01136</t>
  </si>
  <si>
    <t>LN01137</t>
  </si>
  <si>
    <t>LN01138</t>
  </si>
  <si>
    <t>LN01139</t>
  </si>
  <si>
    <t>LN01140</t>
  </si>
  <si>
    <t>LN01141</t>
  </si>
  <si>
    <t>LN01142</t>
  </si>
  <si>
    <t>LN01143</t>
  </si>
  <si>
    <t>LN01144</t>
  </si>
  <si>
    <t>LN01145</t>
  </si>
  <si>
    <t>LN01146</t>
  </si>
  <si>
    <t>LN01147</t>
  </si>
  <si>
    <t>LN01148</t>
  </si>
  <si>
    <t>LN01149</t>
  </si>
  <si>
    <t>LN01150</t>
  </si>
  <si>
    <t>LN01151</t>
  </si>
  <si>
    <t>LN01152</t>
  </si>
  <si>
    <t>LN01153</t>
  </si>
  <si>
    <t>LN01154</t>
  </si>
  <si>
    <t>LN01155</t>
  </si>
  <si>
    <t>LN01156</t>
  </si>
  <si>
    <t>LN01157</t>
  </si>
  <si>
    <t>LN01158</t>
  </si>
  <si>
    <t>LN01159</t>
  </si>
  <si>
    <t>LN01160</t>
  </si>
  <si>
    <t>LN01161</t>
  </si>
  <si>
    <t>LN01162</t>
  </si>
  <si>
    <t>LN01163</t>
  </si>
  <si>
    <t>LN01164</t>
  </si>
  <si>
    <t>LN01165</t>
  </si>
  <si>
    <t>LN01166</t>
  </si>
  <si>
    <t>LN01167</t>
  </si>
  <si>
    <t>LN01168</t>
  </si>
  <si>
    <t>LN01169</t>
  </si>
  <si>
    <t>LN01170</t>
  </si>
  <si>
    <t>LN01171</t>
  </si>
  <si>
    <t>LN01172</t>
  </si>
  <si>
    <t>LN01173</t>
  </si>
  <si>
    <t>LN01174</t>
  </si>
  <si>
    <t>LN01175</t>
  </si>
  <si>
    <t>LN01176</t>
  </si>
  <si>
    <t>LN01177</t>
  </si>
  <si>
    <t>LN01178</t>
  </si>
  <si>
    <t>LN01179</t>
  </si>
  <si>
    <t>LN01180</t>
  </si>
  <si>
    <t>LN01181</t>
  </si>
  <si>
    <t>LN01182</t>
  </si>
  <si>
    <t>LN01183</t>
  </si>
  <si>
    <t>LN01184</t>
  </si>
  <si>
    <t>LN01185</t>
  </si>
  <si>
    <t>LN01186</t>
  </si>
  <si>
    <t>LN01187</t>
  </si>
  <si>
    <t>LN01188</t>
  </si>
  <si>
    <t>LN01189</t>
  </si>
  <si>
    <t>LN01190</t>
  </si>
  <si>
    <t>LN01191</t>
  </si>
  <si>
    <t>LN01192</t>
  </si>
  <si>
    <t>LN01193</t>
  </si>
  <si>
    <t>LN01194</t>
  </si>
  <si>
    <t>LN01195</t>
  </si>
  <si>
    <t>LN01196</t>
  </si>
  <si>
    <t>LN01197</t>
  </si>
  <si>
    <t>LN01198</t>
  </si>
  <si>
    <t>LN01199</t>
  </si>
  <si>
    <t>LN01200</t>
  </si>
  <si>
    <t>TOTALS / AVERAGES</t>
  </si>
  <si>
    <t>🔍  Data Cleaning &amp; Quality Assurance</t>
  </si>
  <si>
    <t>Sheet 2 of 7  |  Standardization · Deduplication · Missing Value Treatment · Data Validation</t>
  </si>
  <si>
    <t>DATA QUALITY SUMMARY</t>
  </si>
  <si>
    <t>Field</t>
  </si>
  <si>
    <t>Total Records</t>
  </si>
  <si>
    <t>Blank / Null</t>
  </si>
  <si>
    <t>% Missing</t>
  </si>
  <si>
    <t>Action Taken</t>
  </si>
  <si>
    <t>Income</t>
  </si>
  <si>
    <t>Filled with Median via IFERROR</t>
  </si>
  <si>
    <t>✅ Clean</t>
  </si>
  <si>
    <t>CreditScore</t>
  </si>
  <si>
    <t>Replaced NULL with 'Unknown'</t>
  </si>
  <si>
    <t>Negative Income</t>
  </si>
  <si>
    <t>Clipped to 0 (ABS/MAX formula)</t>
  </si>
  <si>
    <t>Duplicates</t>
  </si>
  <si>
    <t>No duplicates detected via Loan_ID</t>
  </si>
  <si>
    <t>Binary – Male/Female – standardized</t>
  </si>
  <si>
    <t>STANDARDIZATION &amp; ENCODING REFERENCE</t>
  </si>
  <si>
    <t>Original Value</t>
  </si>
  <si>
    <t>Cleaned / Encoded Value</t>
  </si>
  <si>
    <t>Formula Used</t>
  </si>
  <si>
    <t>Type</t>
  </si>
  <si>
    <t>Notes</t>
  </si>
  <si>
    <t>LoanApproved</t>
  </si>
  <si>
    <t>0</t>
  </si>
  <si>
    <t>IF(val=0,Rejected,Approved)</t>
  </si>
  <si>
    <t>Binary Encode</t>
  </si>
  <si>
    <t>Dashboard display</t>
  </si>
  <si>
    <t>1</t>
  </si>
  <si>
    <t>IF(val=1,Approved,Rejected)</t>
  </si>
  <si>
    <t>EmploymentType</t>
  </si>
  <si>
    <t>IF(A=Salaried,1,0)</t>
  </si>
  <si>
    <t>OHE</t>
  </si>
  <si>
    <t>Model input</t>
  </si>
  <si>
    <t>2</t>
  </si>
  <si>
    <t>IF(A=Self-Employed,2,0)</t>
  </si>
  <si>
    <t>3</t>
  </si>
  <si>
    <t>IF(A=Unemployed,3,0)</t>
  </si>
  <si>
    <t>Risk flag</t>
  </si>
  <si>
    <t>PhD / Masters</t>
  </si>
  <si>
    <t>IF(OR(PhD,Masters),1,0)</t>
  </si>
  <si>
    <t>Risk modifier</t>
  </si>
  <si>
    <t>Male/Female</t>
  </si>
  <si>
    <t>0/1</t>
  </si>
  <si>
    <t>IF(A=Male,0,1)</t>
  </si>
  <si>
    <t>Binary</t>
  </si>
  <si>
    <t>Fair lending</t>
  </si>
  <si>
    <t>Interest_Rate</t>
  </si>
  <si>
    <t>Derived</t>
  </si>
  <si>
    <t>7.5–17.5%</t>
  </si>
  <si>
    <t>IF(CS&gt;=750,7.5%, IF(&gt;=650,10.5%,...))</t>
  </si>
  <si>
    <t>Computed</t>
  </si>
  <si>
    <t>Score-based</t>
  </si>
  <si>
    <t>DTI_Ratio</t>
  </si>
  <si>
    <t>LoanAmt/Income</t>
  </si>
  <si>
    <t>LoanAmount / Income</t>
  </si>
  <si>
    <t>Ratio</t>
  </si>
  <si>
    <t>Risk driver</t>
  </si>
  <si>
    <t>Tenure</t>
  </si>
  <si>
    <t>Synthetic</t>
  </si>
  <si>
    <t>12–120 months</t>
  </si>
  <si>
    <t>RANDBETWEEN(12,120)</t>
  </si>
  <si>
    <t>Simulated</t>
  </si>
  <si>
    <t>Model var</t>
  </si>
  <si>
    <t>CLEANED SAMPLE DATA (50 Records)</t>
  </si>
  <si>
    <t>Years Exp</t>
  </si>
  <si>
    <t>Employment</t>
  </si>
  <si>
    <t>Int Rate</t>
  </si>
  <si>
    <t>DTI</t>
  </si>
  <si>
    <t>Emp Code</t>
  </si>
  <si>
    <t>📊  Credit Risk Scorecard Model</t>
  </si>
  <si>
    <t>Sheet 3 of 7  |  Internal Scoring Model  |  Factor-Based Risk Classification</t>
  </si>
  <si>
    <t>SCORING FACTOR MATRIX</t>
  </si>
  <si>
    <t>Factor</t>
  </si>
  <si>
    <t>Condition</t>
  </si>
  <si>
    <t>Threshold</t>
  </si>
  <si>
    <t>Direction</t>
  </si>
  <si>
    <t>Score Points</t>
  </si>
  <si>
    <t>Weight</t>
  </si>
  <si>
    <t>Weighted Score</t>
  </si>
  <si>
    <t>&gt;= 750</t>
  </si>
  <si>
    <t>Good</t>
  </si>
  <si>
    <t>600–749</t>
  </si>
  <si>
    <t>Medium</t>
  </si>
  <si>
    <t>&lt; 600</t>
  </si>
  <si>
    <t>Bad</t>
  </si>
  <si>
    <t>&lt; 30%</t>
  </si>
  <si>
    <t>30–60%</t>
  </si>
  <si>
    <t>&gt; 60%</t>
  </si>
  <si>
    <t>Income Level</t>
  </si>
  <si>
    <t>&gt; 60k</t>
  </si>
  <si>
    <t>30k–60k</t>
  </si>
  <si>
    <t>&lt; 30k</t>
  </si>
  <si>
    <t>Loan Default</t>
  </si>
  <si>
    <t>No Prior</t>
  </si>
  <si>
    <t>1 Prior</t>
  </si>
  <si>
    <t>2+ Prior</t>
  </si>
  <si>
    <t>&gt;= 10 yrs</t>
  </si>
  <si>
    <t>&lt; 10 yrs</t>
  </si>
  <si>
    <t>RISK CLASSIFICATION THRESHOLDS</t>
  </si>
  <si>
    <t>Risk Band</t>
  </si>
  <si>
    <t>Score Range (Min)</t>
  </si>
  <si>
    <t>Score Range (Max)</t>
  </si>
  <si>
    <t>Classification</t>
  </si>
  <si>
    <t>Recommended Action</t>
  </si>
  <si>
    <t>🟢 LOW</t>
  </si>
  <si>
    <t>Low Risk</t>
  </si>
  <si>
    <t>Approve – Standard Rate</t>
  </si>
  <si>
    <t>🟡 MEDIUM</t>
  </si>
  <si>
    <t>Medium Risk</t>
  </si>
  <si>
    <t>Review – Elevated Rate</t>
  </si>
  <si>
    <t>🔴 HIGH</t>
  </si>
  <si>
    <t>High Risk</t>
  </si>
  <si>
    <t>Decline / Collateral Required</t>
  </si>
  <si>
    <t>📌  LOAN SCORECARD CALCULATOR  (Live Model – 200 Loans)</t>
  </si>
  <si>
    <t>CS Score</t>
  </si>
  <si>
    <t>Income Score</t>
  </si>
  <si>
    <t>Emp Score</t>
  </si>
  <si>
    <t>DTI Score</t>
  </si>
  <si>
    <t>Total Score</t>
  </si>
  <si>
    <t>Risk Category</t>
  </si>
  <si>
    <t>📉  Probability of Default (PD) Model</t>
  </si>
  <si>
    <t>Sheet 4 of 7  |  Basel II / IFRS 9 Inspired  |  PD Lookup by Risk Band &amp; Score Range</t>
  </si>
  <si>
    <t>PD REFERENCE TABLE (REGULATORY / INTERNAL)</t>
  </si>
  <si>
    <t>Score Min</t>
  </si>
  <si>
    <t>Score Max</t>
  </si>
  <si>
    <t>PD %</t>
  </si>
  <si>
    <t>LGD %</t>
  </si>
  <si>
    <t>Capital Charge</t>
  </si>
  <si>
    <t>Rating</t>
  </si>
  <si>
    <t>AAA–BBB</t>
  </si>
  <si>
    <t>BB–B</t>
  </si>
  <si>
    <t>CCC–D</t>
  </si>
  <si>
    <t>Stressed Low</t>
  </si>
  <si>
    <t>AAA–BBB Stressed</t>
  </si>
  <si>
    <t>Stressed Med</t>
  </si>
  <si>
    <t>BB–B Stressed</t>
  </si>
  <si>
    <t>Stressed High</t>
  </si>
  <si>
    <t>CCC–D Stressed</t>
  </si>
  <si>
    <t>LOAN-LEVEL PD ASSIGNMENT (200 LOANS)</t>
  </si>
  <si>
    <t>EAD ($)</t>
  </si>
  <si>
    <t>Expected Loss ($)</t>
  </si>
  <si>
    <t>12M ECL ($)</t>
  </si>
  <si>
    <t>💰  Expected Credit Loss (ECL) — Basel III / IFRS 9</t>
  </si>
  <si>
    <t>Sheet 5 of 7  |  ECL = PD × LGD × EAD  |  Stage Classification  |  Provision Coverage</t>
  </si>
  <si>
    <t>ECL FORMULA:   ECL = PD × LGD × EAD     |     PD = Probability of Default     |     LGD = Loss Given Default     |     EAD = Exposure at Default (Loan Amount Outstanding)</t>
  </si>
  <si>
    <t>IFRS 9 Stage</t>
  </si>
  <si>
    <t>Description</t>
  </si>
  <si>
    <t>PD Horizon</t>
  </si>
  <si>
    <t>PD Applied</t>
  </si>
  <si>
    <t>LGD</t>
  </si>
  <si>
    <t>ECL Basis</t>
  </si>
  <si>
    <t>Flag</t>
  </si>
  <si>
    <t>Stage 1</t>
  </si>
  <si>
    <t>Performing (No sig. increase in credit risk)</t>
  </si>
  <si>
    <t>12-Month</t>
  </si>
  <si>
    <t>Low PD</t>
  </si>
  <si>
    <t>40%</t>
  </si>
  <si>
    <t>12M ECL</t>
  </si>
  <si>
    <t>●</t>
  </si>
  <si>
    <t>Stage 2</t>
  </si>
  <si>
    <t>Underperforming (Sig. increase in risk)</t>
  </si>
  <si>
    <t>Lifetime</t>
  </si>
  <si>
    <t>Medium PD</t>
  </si>
  <si>
    <t>Lifetime ECL</t>
  </si>
  <si>
    <t>Stage 3</t>
  </si>
  <si>
    <t>Non-Performing / Impaired</t>
  </si>
  <si>
    <t>High PD</t>
  </si>
  <si>
    <t>65%</t>
  </si>
  <si>
    <t>PORTFOLIO ECL SUMMARY</t>
  </si>
  <si>
    <t>Loan Count</t>
  </si>
  <si>
    <t>Total EAD ($)</t>
  </si>
  <si>
    <t>Avg PD</t>
  </si>
  <si>
    <t>Avg LGD</t>
  </si>
  <si>
    <t>Total ECL ($)</t>
  </si>
  <si>
    <t>TOTAL PORTFOLIO</t>
  </si>
  <si>
    <t>-</t>
  </si>
  <si>
    <t>LOAN-LEVEL ECL DETAIL (200 LOANS)</t>
  </si>
  <si>
    <t>EAD / Loan Amt ($)</t>
  </si>
  <si>
    <t>PD</t>
  </si>
  <si>
    <t>ECL ($)</t>
  </si>
  <si>
    <t>Lifetime ECL ($)</t>
  </si>
  <si>
    <t>Provision Flag</t>
  </si>
  <si>
    <t>Coverage Ratio</t>
  </si>
  <si>
    <t>PROVISION</t>
  </si>
  <si>
    <t>WATCH</t>
  </si>
  <si>
    <t>PASS</t>
  </si>
  <si>
    <t>⚡  Stress Testing &amp; Scenario Analysis</t>
  </si>
  <si>
    <t>Sheet 6 of 7  |  Basel III Pillar 2  |  3 Scenarios: Base / Mild / Severe  |  Dynamic Impact Calculator</t>
  </si>
  <si>
    <t>SCENARIO PARAMETERS (INPUTS — CHANGE YELLOW CELLS)</t>
  </si>
  <si>
    <t>Scenario</t>
  </si>
  <si>
    <t>Interest Rate Shock</t>
  </si>
  <si>
    <t>Default Rate Multiplier</t>
  </si>
  <si>
    <t>Income Shock</t>
  </si>
  <si>
    <t>Property Shock</t>
  </si>
  <si>
    <t>LGD Shift</t>
  </si>
  <si>
    <t>Severity</t>
  </si>
  <si>
    <t>Active?</t>
  </si>
  <si>
    <t>📗 Base Case</t>
  </si>
  <si>
    <t>Normal</t>
  </si>
  <si>
    <t>YES</t>
  </si>
  <si>
    <t>📙 Mild Stress</t>
  </si>
  <si>
    <t>Mild</t>
  </si>
  <si>
    <t>NO</t>
  </si>
  <si>
    <t>📕 Severe Stress</t>
  </si>
  <si>
    <t>Severe</t>
  </si>
  <si>
    <t>📗 Custom</t>
  </si>
  <si>
    <t>Custom</t>
  </si>
  <si>
    <t>STRESS TEST IMPACT RESULTS</t>
  </si>
  <si>
    <t>Total Loans</t>
  </si>
  <si>
    <t>Base ECL ($)</t>
  </si>
  <si>
    <t>Stressed ECL ($)</t>
  </si>
  <si>
    <t>Incremental Loss ($)</t>
  </si>
  <si>
    <t>NPA Ratio</t>
  </si>
  <si>
    <t>Risk-Wtd Exposure ($)</t>
  </si>
  <si>
    <t>Capital Impact</t>
  </si>
  <si>
    <t>📗 Custom Stress</t>
  </si>
  <si>
    <t>KEY RISK INDICATORS (KRIs)</t>
  </si>
  <si>
    <t>Metric</t>
  </si>
  <si>
    <t>Base Value</t>
  </si>
  <si>
    <t>Mild Stress</t>
  </si>
  <si>
    <t>Severe Stress</t>
  </si>
  <si>
    <t>Breach Threshold</t>
  </si>
  <si>
    <t>2.3%</t>
  </si>
  <si>
    <t>2.8%</t>
  </si>
  <si>
    <t>3.4%</t>
  </si>
  <si>
    <t>5.0%</t>
  </si>
  <si>
    <t>68.5%</t>
  </si>
  <si>
    <t>62.1%</t>
  </si>
  <si>
    <t>50.0%</t>
  </si>
  <si>
    <t>Provision / EAD</t>
  </si>
  <si>
    <t>1.8%</t>
  </si>
  <si>
    <t>2.2%</t>
  </si>
  <si>
    <t>3.3%</t>
  </si>
  <si>
    <t>4.0%</t>
  </si>
  <si>
    <t>Capital Adequacy Ratio</t>
  </si>
  <si>
    <t>14.2%</t>
  </si>
  <si>
    <t>13.1%</t>
  </si>
  <si>
    <t>10.5%</t>
  </si>
  <si>
    <t>Expected Loss / EAD</t>
  </si>
  <si>
    <t>1.2%</t>
  </si>
  <si>
    <t>1.5%</t>
  </si>
  <si>
    <t>2.1%</t>
  </si>
  <si>
    <t>3.0%</t>
  </si>
  <si>
    <t>Stressed ECL / Capital</t>
  </si>
  <si>
    <t>8.3%</t>
  </si>
  <si>
    <t>11.2%</t>
  </si>
  <si>
    <t>16.7%</t>
  </si>
  <si>
    <t>15.0%</t>
  </si>
  <si>
    <t>📈  Executive Risk Dashboard — Bank Loan Portfolio</t>
  </si>
  <si>
    <t>Sheet 7 of 7  |  KPIs · Risk Distribution · Sector Exposure · Scenario Loss Summary</t>
  </si>
  <si>
    <t>Total EAD</t>
  </si>
  <si>
    <t>Avg Credit Score</t>
  </si>
  <si>
    <t>Avg Interest Rate</t>
  </si>
  <si>
    <t>Total ECL</t>
  </si>
  <si>
    <t>Approved Rate</t>
  </si>
  <si>
    <t>High Risk Loans</t>
  </si>
  <si>
    <t>▲ vs Prior Period</t>
  </si>
  <si>
    <t>RISK DISTRIBUTION</t>
  </si>
  <si>
    <t>EMPLOYMENT EXPOSURE</t>
  </si>
  <si>
    <t>CITY / REGION EXPOSURE</t>
  </si>
  <si>
    <t>SCENARIO LOSS SUMMARY</t>
  </si>
  <si>
    <t>Count</t>
  </si>
  <si>
    <t>Avg ECL ($)</t>
  </si>
  <si>
    <t>Base Case</t>
  </si>
  <si>
    <t>✅ PASS</t>
  </si>
  <si>
    <t>⚠️ WATCH</t>
  </si>
  <si>
    <t>❌ BREACH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</si>
</sst>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$#,##0"/>
    <numFmt numFmtId="165" formatCode="0.0%"/>
    <numFmt numFmtId="166" formatCode="#,##0.0"/>
    <numFmt numFmtId="167" formatCode="\+0;\-0;0"/>
    <numFmt numFmtId="168" formatCode="\+0.0%;\-0.0%;0.0%"/>
    <numFmt numFmtId="169" formatCode="0.00\x"/>
  </numFmts>
  <fonts count="27" x14ac:knownFonts="1">
    <font>
      <sz val="11"/>
      <color theme="1"/>
      <name val="Calibri"/>
      <family val="2"/>
      <charset val="1"/>
    </font>
    <font>
      <b/>
      <sz val="18"/>
      <color rgb="FFFFFFFF"/>
      <name val="Arial"/>
      <family val="2"/>
    </font>
    <font>
      <sz val="10"/>
      <color rgb="FFBBDEFB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2E7D32"/>
      <name val="Arial"/>
      <family val="2"/>
    </font>
    <font>
      <b/>
      <sz val="10"/>
      <color rgb="FFFFFFFF"/>
      <name val="Arial"/>
      <family val="2"/>
    </font>
    <font>
      <b/>
      <sz val="10"/>
      <color rgb="FF1B3A6B"/>
      <name val="Arial"/>
      <family val="2"/>
    </font>
    <font>
      <b/>
      <sz val="10"/>
      <color rgb="FFC62828"/>
      <name val="Arial"/>
      <family val="2"/>
    </font>
    <font>
      <b/>
      <sz val="10"/>
      <color rgb="FFE65100"/>
      <name val="Arial"/>
      <family val="2"/>
    </font>
    <font>
      <i/>
      <sz val="9"/>
      <color rgb="FF1B3A6B"/>
      <name val="Arial"/>
      <family val="2"/>
    </font>
    <font>
      <b/>
      <sz val="10"/>
      <color rgb="FFFFB300"/>
      <name val="Arial"/>
      <family val="2"/>
    </font>
    <font>
      <sz val="10"/>
      <color rgb="FF0000FF"/>
      <name val="Arial"/>
      <family val="2"/>
    </font>
    <font>
      <sz val="10"/>
      <color rgb="FF2E7D32"/>
      <name val="Arial"/>
      <family val="2"/>
    </font>
    <font>
      <sz val="10"/>
      <color rgb="FFE65100"/>
      <name val="Arial"/>
      <family val="2"/>
    </font>
    <font>
      <sz val="10"/>
      <color rgb="FFC62828"/>
      <name val="Arial"/>
      <family val="2"/>
    </font>
    <font>
      <b/>
      <sz val="10"/>
      <color rgb="FF1565C0"/>
      <name val="Arial"/>
      <family val="2"/>
    </font>
    <font>
      <sz val="10"/>
      <color rgb="FF1565C0"/>
      <name val="Arial"/>
      <family val="2"/>
    </font>
    <font>
      <b/>
      <sz val="9"/>
      <color rgb="FFFFFFFF"/>
      <name val="Arial"/>
      <family val="2"/>
    </font>
    <font>
      <b/>
      <sz val="14"/>
      <color rgb="FF1565C0"/>
      <name val="Arial"/>
      <family val="2"/>
    </font>
    <font>
      <b/>
      <sz val="14"/>
      <color rgb="FF1B3A6B"/>
      <name val="Arial"/>
      <family val="2"/>
    </font>
    <font>
      <b/>
      <sz val="14"/>
      <color rgb="FF37474F"/>
      <name val="Arial"/>
      <family val="2"/>
    </font>
    <font>
      <b/>
      <sz val="14"/>
      <color rgb="FFC62828"/>
      <name val="Arial"/>
      <family val="2"/>
    </font>
    <font>
      <b/>
      <sz val="14"/>
      <color rgb="FF2E7D32"/>
      <name val="Arial"/>
      <family val="2"/>
    </font>
    <font>
      <b/>
      <sz val="14"/>
      <color rgb="FFE65100"/>
      <name val="Arial"/>
      <family val="2"/>
    </font>
    <font>
      <i/>
      <sz val="8"/>
      <color rgb="FF37474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B3A6B"/>
        <bgColor rgb="FF37474F"/>
      </patternFill>
    </fill>
    <fill>
      <patternFill patternType="solid">
        <fgColor rgb="FF1565C0"/>
        <bgColor rgb="FF3366FF"/>
      </patternFill>
    </fill>
    <fill>
      <patternFill patternType="solid">
        <fgColor rgb="FFFFFFFF"/>
        <bgColor rgb="FFF9F9F9"/>
      </patternFill>
    </fill>
    <fill>
      <patternFill patternType="solid">
        <fgColor rgb="FFECEFF1"/>
        <bgColor rgb="FFE3F2FD"/>
      </patternFill>
    </fill>
    <fill>
      <patternFill patternType="solid">
        <fgColor rgb="FFE3F2FD"/>
        <bgColor rgb="FFECEFF1"/>
      </patternFill>
    </fill>
    <fill>
      <patternFill patternType="solid">
        <fgColor rgb="FF37474F"/>
        <bgColor rgb="FF1B3A6B"/>
      </patternFill>
    </fill>
    <fill>
      <patternFill patternType="solid">
        <fgColor rgb="FFC8E6C9"/>
        <bgColor rgb="FFD9D9D9"/>
      </patternFill>
    </fill>
    <fill>
      <patternFill patternType="solid">
        <fgColor rgb="FFFFE0B2"/>
        <bgColor rgb="FFFFCDD2"/>
      </patternFill>
    </fill>
    <fill>
      <patternFill patternType="solid">
        <fgColor rgb="FFFFCDD2"/>
        <bgColor rgb="FFFFE0B2"/>
      </patternFill>
    </fill>
    <fill>
      <patternFill patternType="solid">
        <fgColor rgb="FFFFFF00"/>
        <bgColor rgb="FFFFFF00"/>
      </patternFill>
    </fill>
    <fill>
      <patternFill patternType="solid">
        <fgColor rgb="FFBBDEFB"/>
        <bgColor rgb="FFC8E6C9"/>
      </patternFill>
    </fill>
    <fill>
      <patternFill patternType="solid">
        <fgColor rgb="FFC62828"/>
        <bgColor rgb="FF993366"/>
      </patternFill>
    </fill>
    <fill>
      <patternFill patternType="solid">
        <fgColor rgb="FF2E7D32"/>
        <bgColor rgb="FF008000"/>
      </patternFill>
    </fill>
    <fill>
      <patternFill patternType="solid">
        <fgColor rgb="FFE65100"/>
        <bgColor rgb="FFC0504D"/>
      </patternFill>
    </fill>
  </fills>
  <borders count="6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/>
      <right/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/>
      <top/>
      <bottom style="thin">
        <color rgb="FFBDBDBD"/>
      </bottom>
      <diagonal/>
    </border>
  </borders>
  <cellStyleXfs count="1">
    <xf numFmtId="0" fontId="0" fillId="0" borderId="0"/>
  </cellStyleXfs>
  <cellXfs count="130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2" fontId="5" fillId="4" borderId="1" xfId="0" applyNumberFormat="1" applyFont="1" applyFill="1" applyBorder="1" applyAlignment="1">
      <alignment horizontal="right" vertical="center"/>
    </xf>
    <xf numFmtId="0" fontId="9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2" fontId="5" fillId="5" borderId="1" xfId="0" applyNumberFormat="1" applyFont="1" applyFill="1" applyBorder="1" applyAlignment="1">
      <alignment horizontal="right" vertical="center"/>
    </xf>
    <xf numFmtId="0" fontId="9" fillId="5" borderId="1" xfId="0" applyFont="1" applyFill="1" applyBorder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0" fillId="7" borderId="1" xfId="0" applyFill="1" applyBorder="1"/>
    <xf numFmtId="164" fontId="7" fillId="7" borderId="1" xfId="0" applyNumberFormat="1" applyFont="1" applyFill="1" applyBorder="1" applyAlignment="1">
      <alignment horizontal="right" vertical="center"/>
    </xf>
    <xf numFmtId="166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2" fontId="7" fillId="7" borderId="1" xfId="0" applyNumberFormat="1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 wrapText="1"/>
    </xf>
    <xf numFmtId="3" fontId="5" fillId="4" borderId="1" xfId="0" applyNumberFormat="1" applyFont="1" applyFill="1" applyBorder="1" applyAlignment="1">
      <alignment horizontal="right" vertical="center"/>
    </xf>
    <xf numFmtId="3" fontId="5" fillId="5" borderId="1" xfId="0" applyNumberFormat="1" applyFont="1" applyFill="1" applyBorder="1" applyAlignment="1">
      <alignment horizontal="right" vertical="center"/>
    </xf>
    <xf numFmtId="0" fontId="6" fillId="8" borderId="1" xfId="0" applyFont="1" applyFill="1" applyBorder="1" applyAlignment="1">
      <alignment horizontal="center" vertical="center" wrapText="1"/>
    </xf>
    <xf numFmtId="9" fontId="5" fillId="4" borderId="1" xfId="0" applyNumberFormat="1" applyFont="1" applyFill="1" applyBorder="1" applyAlignment="1">
      <alignment horizontal="center" vertical="center" wrapText="1"/>
    </xf>
    <xf numFmtId="2" fontId="5" fillId="6" borderId="1" xfId="0" applyNumberFormat="1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9" fontId="5" fillId="5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67" fontId="5" fillId="4" borderId="1" xfId="0" applyNumberFormat="1" applyFont="1" applyFill="1" applyBorder="1" applyAlignment="1">
      <alignment horizontal="right" vertical="center"/>
    </xf>
    <xf numFmtId="167" fontId="5" fillId="5" borderId="1" xfId="0" applyNumberFormat="1" applyFont="1" applyFill="1" applyBorder="1" applyAlignment="1">
      <alignment horizontal="righ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right" vertical="center"/>
    </xf>
    <xf numFmtId="165" fontId="5" fillId="9" borderId="1" xfId="0" applyNumberFormat="1" applyFont="1" applyFill="1" applyBorder="1" applyAlignment="1">
      <alignment horizontal="right" vertical="center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right" vertical="center"/>
    </xf>
    <xf numFmtId="165" fontId="5" fillId="10" borderId="1" xfId="0" applyNumberFormat="1" applyFont="1" applyFill="1" applyBorder="1" applyAlignment="1">
      <alignment horizontal="right" vertical="center"/>
    </xf>
    <xf numFmtId="0" fontId="4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right" vertical="center"/>
    </xf>
    <xf numFmtId="165" fontId="4" fillId="10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right" vertical="center"/>
    </xf>
    <xf numFmtId="164" fontId="4" fillId="8" borderId="1" xfId="0" applyNumberFormat="1" applyFont="1" applyFill="1" applyBorder="1" applyAlignment="1">
      <alignment horizontal="right" vertical="center"/>
    </xf>
    <xf numFmtId="165" fontId="4" fillId="8" borderId="1" xfId="0" applyNumberFormat="1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right" vertical="center"/>
    </xf>
    <xf numFmtId="164" fontId="4" fillId="9" borderId="1" xfId="0" applyNumberFormat="1" applyFont="1" applyFill="1" applyBorder="1" applyAlignment="1">
      <alignment horizontal="right" vertical="center"/>
    </xf>
    <xf numFmtId="165" fontId="4" fillId="9" borderId="1" xfId="0" applyNumberFormat="1" applyFont="1" applyFill="1" applyBorder="1" applyAlignment="1">
      <alignment horizontal="right" vertical="center"/>
    </xf>
    <xf numFmtId="164" fontId="4" fillId="10" borderId="1" xfId="0" applyNumberFormat="1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right" vertical="center"/>
    </xf>
    <xf numFmtId="164" fontId="7" fillId="2" borderId="1" xfId="0" applyNumberFormat="1" applyFont="1" applyFill="1" applyBorder="1" applyAlignment="1">
      <alignment horizontal="right" vertical="center"/>
    </xf>
    <xf numFmtId="0" fontId="12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 wrapText="1"/>
    </xf>
    <xf numFmtId="168" fontId="13" fillId="11" borderId="1" xfId="0" applyNumberFormat="1" applyFont="1" applyFill="1" applyBorder="1" applyAlignment="1">
      <alignment horizontal="center" vertical="center" wrapText="1"/>
    </xf>
    <xf numFmtId="169" fontId="13" fillId="11" borderId="1" xfId="0" applyNumberFormat="1" applyFont="1" applyFill="1" applyBorder="1" applyAlignment="1">
      <alignment horizontal="center" vertical="center" wrapText="1"/>
    </xf>
    <xf numFmtId="165" fontId="13" fillId="11" borderId="1" xfId="0" applyNumberFormat="1" applyFont="1" applyFill="1" applyBorder="1" applyAlignment="1">
      <alignment horizontal="center" vertical="center" wrapText="1"/>
    </xf>
    <xf numFmtId="0" fontId="14" fillId="8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7" fillId="12" borderId="1" xfId="0" applyFont="1" applyFill="1" applyBorder="1" applyAlignment="1">
      <alignment horizontal="center" vertical="center" wrapText="1"/>
    </xf>
    <xf numFmtId="0" fontId="18" fillId="12" borderId="1" xfId="0" applyFont="1" applyFill="1" applyBorder="1" applyAlignment="1">
      <alignment horizontal="center" vertical="center" wrapText="1"/>
    </xf>
    <xf numFmtId="3" fontId="14" fillId="8" borderId="1" xfId="0" applyNumberFormat="1" applyFont="1" applyFill="1" applyBorder="1" applyAlignment="1">
      <alignment horizontal="right" vertical="center"/>
    </xf>
    <xf numFmtId="164" fontId="14" fillId="8" borderId="1" xfId="0" applyNumberFormat="1" applyFont="1" applyFill="1" applyBorder="1" applyAlignment="1">
      <alignment horizontal="right" vertical="center"/>
    </xf>
    <xf numFmtId="165" fontId="14" fillId="8" borderId="1" xfId="0" applyNumberFormat="1" applyFont="1" applyFill="1" applyBorder="1" applyAlignment="1">
      <alignment horizontal="right" vertical="center"/>
    </xf>
    <xf numFmtId="169" fontId="14" fillId="8" borderId="1" xfId="0" applyNumberFormat="1" applyFont="1" applyFill="1" applyBorder="1" applyAlignment="1">
      <alignment horizontal="center" vertical="center" wrapText="1"/>
    </xf>
    <xf numFmtId="3" fontId="10" fillId="9" borderId="1" xfId="0" applyNumberFormat="1" applyFont="1" applyFill="1" applyBorder="1" applyAlignment="1">
      <alignment horizontal="right" vertical="center"/>
    </xf>
    <xf numFmtId="164" fontId="10" fillId="9" borderId="1" xfId="0" applyNumberFormat="1" applyFont="1" applyFill="1" applyBorder="1" applyAlignment="1">
      <alignment horizontal="right" vertical="center"/>
    </xf>
    <xf numFmtId="164" fontId="9" fillId="10" borderId="1" xfId="0" applyNumberFormat="1" applyFont="1" applyFill="1" applyBorder="1" applyAlignment="1">
      <alignment horizontal="right" vertical="center"/>
    </xf>
    <xf numFmtId="165" fontId="10" fillId="9" borderId="1" xfId="0" applyNumberFormat="1" applyFont="1" applyFill="1" applyBorder="1" applyAlignment="1">
      <alignment horizontal="right" vertical="center"/>
    </xf>
    <xf numFmtId="169" fontId="10" fillId="9" borderId="1" xfId="0" applyNumberFormat="1" applyFont="1" applyFill="1" applyBorder="1" applyAlignment="1">
      <alignment horizontal="center" vertical="center" wrapText="1"/>
    </xf>
    <xf numFmtId="3" fontId="9" fillId="10" borderId="1" xfId="0" applyNumberFormat="1" applyFont="1" applyFill="1" applyBorder="1" applyAlignment="1">
      <alignment horizontal="right" vertical="center"/>
    </xf>
    <xf numFmtId="165" fontId="9" fillId="10" borderId="1" xfId="0" applyNumberFormat="1" applyFont="1" applyFill="1" applyBorder="1" applyAlignment="1">
      <alignment horizontal="right" vertical="center"/>
    </xf>
    <xf numFmtId="169" fontId="9" fillId="10" borderId="1" xfId="0" applyNumberFormat="1" applyFont="1" applyFill="1" applyBorder="1" applyAlignment="1">
      <alignment horizontal="center" vertical="center" wrapText="1"/>
    </xf>
    <xf numFmtId="3" fontId="17" fillId="12" borderId="1" xfId="0" applyNumberFormat="1" applyFont="1" applyFill="1" applyBorder="1" applyAlignment="1">
      <alignment horizontal="right" vertical="center"/>
    </xf>
    <xf numFmtId="164" fontId="17" fillId="12" borderId="1" xfId="0" applyNumberFormat="1" applyFont="1" applyFill="1" applyBorder="1" applyAlignment="1">
      <alignment horizontal="right" vertical="center"/>
    </xf>
    <xf numFmtId="165" fontId="17" fillId="12" borderId="1" xfId="0" applyNumberFormat="1" applyFont="1" applyFill="1" applyBorder="1" applyAlignment="1">
      <alignment horizontal="right" vertical="center"/>
    </xf>
    <xf numFmtId="169" fontId="17" fillId="12" borderId="1" xfId="0" applyNumberFormat="1" applyFont="1" applyFill="1" applyBorder="1" applyAlignment="1">
      <alignment horizontal="center" vertical="center" wrapText="1"/>
    </xf>
    <xf numFmtId="166" fontId="5" fillId="4" borderId="1" xfId="0" applyNumberFormat="1" applyFont="1" applyFill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right" vertical="center"/>
    </xf>
    <xf numFmtId="0" fontId="4" fillId="12" borderId="1" xfId="0" applyFont="1" applyFill="1" applyBorder="1" applyAlignment="1">
      <alignment horizontal="center" vertical="center" wrapText="1"/>
    </xf>
    <xf numFmtId="164" fontId="4" fillId="12" borderId="1" xfId="0" applyNumberFormat="1" applyFont="1" applyFill="1" applyBorder="1" applyAlignment="1">
      <alignment horizontal="right" vertical="center"/>
    </xf>
    <xf numFmtId="165" fontId="4" fillId="12" borderId="1" xfId="0" applyNumberFormat="1" applyFont="1" applyFill="1" applyBorder="1" applyAlignment="1">
      <alignment horizontal="right"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10" fontId="5" fillId="5" borderId="1" xfId="0" applyNumberFormat="1" applyFont="1" applyFill="1" applyBorder="1" applyAlignment="1">
      <alignment horizontal="center" vertical="center" wrapText="1"/>
    </xf>
    <xf numFmtId="9" fontId="4" fillId="9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19" fillId="15" borderId="2" xfId="0" applyFont="1" applyFill="1" applyBorder="1" applyAlignment="1">
      <alignment horizontal="center" vertical="center" wrapText="1"/>
    </xf>
    <xf numFmtId="0" fontId="19" fillId="13" borderId="2" xfId="0" applyFont="1" applyFill="1" applyBorder="1" applyAlignment="1">
      <alignment horizontal="center" vertical="center" wrapText="1"/>
    </xf>
    <xf numFmtId="3" fontId="20" fillId="6" borderId="2" xfId="0" applyNumberFormat="1" applyFont="1" applyFill="1" applyBorder="1" applyAlignment="1">
      <alignment horizontal="center" vertical="center" wrapText="1"/>
    </xf>
    <xf numFmtId="164" fontId="21" fillId="6" borderId="2" xfId="0" applyNumberFormat="1" applyFont="1" applyFill="1" applyBorder="1" applyAlignment="1">
      <alignment horizontal="center" vertical="center" wrapText="1"/>
    </xf>
    <xf numFmtId="166" fontId="22" fillId="6" borderId="2" xfId="0" applyNumberFormat="1" applyFont="1" applyFill="1" applyBorder="1" applyAlignment="1">
      <alignment horizontal="center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4" fontId="23" fillId="6" borderId="2" xfId="0" applyNumberFormat="1" applyFont="1" applyFill="1" applyBorder="1" applyAlignment="1">
      <alignment horizontal="center" vertical="center" wrapText="1"/>
    </xf>
    <xf numFmtId="165" fontId="24" fillId="6" borderId="2" xfId="0" applyNumberFormat="1" applyFont="1" applyFill="1" applyBorder="1" applyAlignment="1">
      <alignment horizontal="center" vertical="center" wrapText="1"/>
    </xf>
    <xf numFmtId="165" fontId="25" fillId="6" borderId="2" xfId="0" applyNumberFormat="1" applyFont="1" applyFill="1" applyBorder="1" applyAlignment="1">
      <alignment horizontal="center" vertical="center" wrapText="1"/>
    </xf>
    <xf numFmtId="3" fontId="23" fillId="6" borderId="2" xfId="0" applyNumberFormat="1" applyFont="1" applyFill="1" applyBorder="1" applyAlignment="1">
      <alignment horizontal="center" vertical="center" wrapText="1"/>
    </xf>
    <xf numFmtId="0" fontId="19" fillId="3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center" vertical="center" wrapText="1"/>
    </xf>
    <xf numFmtId="0" fontId="19" fillId="14" borderId="2" xfId="0" applyFont="1" applyFill="1" applyBorder="1" applyAlignment="1">
      <alignment horizontal="center" vertical="center" wrapText="1"/>
    </xf>
    <xf numFmtId="0" fontId="26" fillId="5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BDBD"/>
      <rgbColor rgb="FF878787"/>
      <rgbColor rgb="FF9999FF"/>
      <rgbColor rgb="FFC0504D"/>
      <rgbColor rgb="FFF9F9F9"/>
      <rgbColor rgb="FFE3F2FD"/>
      <rgbColor rgb="FF660066"/>
      <rgbColor rgb="FFFF8080"/>
      <rgbColor rgb="FF1565C0"/>
      <rgbColor rgb="FFBBDE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FF1"/>
      <rgbColor rgb="FFC8E6C9"/>
      <rgbColor rgb="FFFFFF99"/>
      <rgbColor rgb="FFD9D9D9"/>
      <rgbColor rgb="FFFFCDD2"/>
      <rgbColor rgb="FFCC99FF"/>
      <rgbColor rgb="FFFFE0B2"/>
      <rgbColor rgb="FF3366FF"/>
      <rgbColor rgb="FF33CCCC"/>
      <rgbColor rgb="FF9BBB59"/>
      <rgbColor rgb="FFFFB300"/>
      <rgbColor rgb="FFFF9900"/>
      <rgbColor rgb="FFE65100"/>
      <rgbColor rgb="FF4F81BD"/>
      <rgbColor rgb="FF969696"/>
      <rgbColor rgb="FF1B3A6B"/>
      <rgbColor rgb="FF2E7D32"/>
      <rgbColor rgb="FF003300"/>
      <rgbColor rgb="FF333300"/>
      <rgbColor rgb="FFC62828"/>
      <rgbColor rgb="FF993366"/>
      <rgbColor rgb="FF333399"/>
      <rgbColor rgb="FF3747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Risk Distribution by 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 Dashboard'!$B$11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'7. Dashboard'!$A$12:$A$14</c:f>
              <c:strCache>
                <c:ptCount val="3"/>
                <c:pt idx="0">
                  <c:v>Low Risk</c:v>
                </c:pt>
                <c:pt idx="1">
                  <c:v>Medium Risk</c:v>
                </c:pt>
                <c:pt idx="2">
                  <c:v>High Risk</c:v>
                </c:pt>
              </c:strCache>
            </c:strRef>
          </c:cat>
          <c:val>
            <c:numRef>
              <c:f>'7. Dashboard'!$B$12:$B$14</c:f>
              <c:numCache>
                <c:formatCode>General</c:formatCode>
                <c:ptCount val="3"/>
                <c:pt idx="0">
                  <c:v>2</c:v>
                </c:pt>
                <c:pt idx="1">
                  <c:v>21</c:v>
                </c:pt>
                <c:pt idx="2">
                  <c:v>177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13-4256-9AD9-F5E142FAE7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59571"/>
        <c:axId val="64542792"/>
      </c:barChart>
      <c:catAx>
        <c:axId val="79595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Risk Band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4542792"/>
        <c:crosses val="autoZero"/>
        <c:auto val="1"/>
        <c:lblAlgn val="ctr"/>
        <c:lblOffset val="100"/>
        <c:noMultiLvlLbl val="0"/>
      </c:catAx>
      <c:valAx>
        <c:axId val="645427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Loan Count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595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Expected Credit Loss by Risk Band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 Dashboard'!$C$11</c:f>
              <c:strCache>
                <c:ptCount val="1"/>
                <c:pt idx="0">
                  <c:v>Total ECL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'7. Dashboard'!$A$12:$A$14</c:f>
              <c:strCache>
                <c:ptCount val="3"/>
                <c:pt idx="0">
                  <c:v>Low Risk</c:v>
                </c:pt>
                <c:pt idx="1">
                  <c:v>Medium Risk</c:v>
                </c:pt>
                <c:pt idx="2">
                  <c:v>High Risk</c:v>
                </c:pt>
              </c:strCache>
            </c:strRef>
          </c:cat>
          <c:val>
            <c:numRef>
              <c:f>'7. Dashboard'!$C$12:$C$14</c:f>
              <c:numCache>
                <c:formatCode>\$#,##0</c:formatCode>
                <c:ptCount val="3"/>
                <c:pt idx="0">
                  <c:v>234.26400000000001</c:v>
                </c:pt>
                <c:pt idx="1">
                  <c:v>14013.647999999999</c:v>
                </c:pt>
                <c:pt idx="2">
                  <c:v>398125.728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5F-461F-B505-5740F56DC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076275"/>
        <c:axId val="86915191"/>
      </c:barChart>
      <c:catAx>
        <c:axId val="740762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6915191"/>
        <c:crosses val="autoZero"/>
        <c:auto val="1"/>
        <c:lblAlgn val="ctr"/>
        <c:lblOffset val="100"/>
        <c:noMultiLvlLbl val="0"/>
      </c:catAx>
      <c:valAx>
        <c:axId val="869151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ECL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407627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Loan Count by Employment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'7. Dashboard'!$F$11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C250-4917-A973-54B575CC662F}"/>
              </c:ext>
            </c:extLst>
          </c:dPt>
          <c:dPt>
            <c:idx val="1"/>
            <c:bubble3D val="0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C250-4917-A973-54B575CC662F}"/>
              </c:ext>
            </c:extLst>
          </c:dPt>
          <c:dPt>
            <c:idx val="2"/>
            <c:bubble3D val="0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C250-4917-A973-54B575CC662F}"/>
              </c:ext>
            </c:extLst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250-4917-A973-54B575CC662F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250-4917-A973-54B575CC662F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250-4917-A973-54B575CC662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'7. Dashboard'!$E$12:$E$14</c:f>
              <c:strCache>
                <c:ptCount val="3"/>
                <c:pt idx="0">
                  <c:v>Salaried</c:v>
                </c:pt>
                <c:pt idx="1">
                  <c:v>Self-Employed</c:v>
                </c:pt>
                <c:pt idx="2">
                  <c:v>Unemployed</c:v>
                </c:pt>
              </c:strCache>
            </c:strRef>
          </c:cat>
          <c:val>
            <c:numRef>
              <c:f>'7. Dashboard'!$F$12:$F$14</c:f>
              <c:numCache>
                <c:formatCode>General</c:formatCode>
                <c:ptCount val="3"/>
                <c:pt idx="0">
                  <c:v>62</c:v>
                </c:pt>
                <c:pt idx="1">
                  <c:v>62</c:v>
                </c:pt>
                <c:pt idx="2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50-4917-A973-54B575CC6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Stressed ECL by 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'7. Dashboard'!$N$11</c:f>
              <c:strCache>
                <c:ptCount val="1"/>
                <c:pt idx="0">
                  <c:v>ECL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'7. Dashboard'!$M$12:$M$15</c:f>
              <c:strCache>
                <c:ptCount val="4"/>
                <c:pt idx="0">
                  <c:v>Base Case</c:v>
                </c:pt>
                <c:pt idx="1">
                  <c:v>Mild Stress</c:v>
                </c:pt>
                <c:pt idx="2">
                  <c:v>Severe Stress</c:v>
                </c:pt>
                <c:pt idx="3">
                  <c:v>Custom</c:v>
                </c:pt>
              </c:strCache>
            </c:strRef>
          </c:cat>
          <c:val>
            <c:numRef>
              <c:f>'7. Dashboard'!$N$12:$N$15</c:f>
              <c:numCache>
                <c:formatCode>\$#,##0</c:formatCode>
                <c:ptCount val="4"/>
                <c:pt idx="0">
                  <c:v>412373.64</c:v>
                </c:pt>
                <c:pt idx="1">
                  <c:v>504745.33536000003</c:v>
                </c:pt>
                <c:pt idx="2">
                  <c:v>643302.87840000005</c:v>
                </c:pt>
                <c:pt idx="3">
                  <c:v>552168.30396000005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FF-4962-82DB-3521606C4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857321"/>
        <c:axId val="75929894"/>
      </c:barChart>
      <c:catAx>
        <c:axId val="3585732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929894"/>
        <c:crosses val="autoZero"/>
        <c:auto val="1"/>
        <c:lblAlgn val="ctr"/>
        <c:lblOffset val="100"/>
        <c:noMultiLvlLbl val="0"/>
      </c:catAx>
      <c:valAx>
        <c:axId val="759298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ECL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85732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48240</xdr:rowOff>
    </xdr:from>
    <xdr:to>
      <xdr:col>3</xdr:col>
      <xdr:colOff>2243537</xdr:colOff>
      <xdr:row>35</xdr:row>
      <xdr:rowOff>28440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16</xdr:row>
      <xdr:rowOff>48240</xdr:rowOff>
    </xdr:from>
    <xdr:to>
      <xdr:col>7</xdr:col>
      <xdr:colOff>2243178</xdr:colOff>
      <xdr:row>35</xdr:row>
      <xdr:rowOff>28440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16</xdr:row>
      <xdr:rowOff>48240</xdr:rowOff>
    </xdr:from>
    <xdr:to>
      <xdr:col>11</xdr:col>
      <xdr:colOff>1546749</xdr:colOff>
      <xdr:row>35</xdr:row>
      <xdr:rowOff>28440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0</xdr:colOff>
      <xdr:row>16</xdr:row>
      <xdr:rowOff>48240</xdr:rowOff>
    </xdr:from>
    <xdr:to>
      <xdr:col>17</xdr:col>
      <xdr:colOff>458280</xdr:colOff>
      <xdr:row>35</xdr:row>
      <xdr:rowOff>28440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24"/>
  <sheetViews>
    <sheetView showGridLines="0" zoomScale="70" zoomScaleNormal="70" workbookViewId="0">
      <selection activeCell="E11" sqref="E11"/>
    </sheetView>
  </sheetViews>
  <sheetFormatPr defaultColWidth="8.6640625" defaultRowHeight="14.4" x14ac:dyDescent="0.3"/>
  <cols>
    <col min="1" max="1" width="12" customWidth="1"/>
    <col min="2" max="2" width="22" customWidth="1"/>
    <col min="3" max="4" width="38" customWidth="1"/>
    <col min="5" max="5" width="22" customWidth="1"/>
    <col min="6" max="10" width="12" customWidth="1"/>
  </cols>
  <sheetData>
    <row r="1" spans="1:10" ht="9.75" customHeight="1" x14ac:dyDescent="0.3"/>
    <row r="2" spans="1:10" ht="36" customHeight="1" x14ac:dyDescent="0.3">
      <c r="A2" s="102" t="s">
        <v>0</v>
      </c>
      <c r="B2" s="102"/>
      <c r="C2" s="102"/>
      <c r="D2" s="102"/>
      <c r="E2" s="102"/>
      <c r="F2" s="102"/>
      <c r="G2" s="102"/>
      <c r="H2" s="102"/>
      <c r="I2" s="102"/>
      <c r="J2" s="102"/>
    </row>
    <row r="3" spans="1:10" ht="19.5" customHeight="1" x14ac:dyDescent="0.3">
      <c r="A3" s="103" t="s">
        <v>1</v>
      </c>
      <c r="B3" s="103"/>
      <c r="C3" s="103"/>
      <c r="D3" s="103"/>
      <c r="E3" s="103"/>
      <c r="F3" s="103"/>
      <c r="G3" s="103"/>
      <c r="H3" s="103"/>
      <c r="I3" s="103"/>
      <c r="J3" s="103"/>
    </row>
    <row r="4" spans="1:10" ht="7.5" customHeight="1" x14ac:dyDescent="0.3"/>
    <row r="5" spans="1:10" ht="7.5" customHeight="1" x14ac:dyDescent="0.3"/>
    <row r="6" spans="1:10" ht="21.75" customHeight="1" x14ac:dyDescent="0.3">
      <c r="A6" s="1" t="s">
        <v>2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7</v>
      </c>
    </row>
    <row r="7" spans="1:10" ht="26.4" x14ac:dyDescent="0.3">
      <c r="A7" s="2" t="s">
        <v>8</v>
      </c>
      <c r="B7" s="3" t="s">
        <v>9</v>
      </c>
      <c r="C7" s="3" t="s">
        <v>10</v>
      </c>
      <c r="D7" s="3" t="s">
        <v>11</v>
      </c>
      <c r="E7" s="3" t="s">
        <v>12</v>
      </c>
      <c r="F7" s="4" t="s">
        <v>13</v>
      </c>
    </row>
    <row r="8" spans="1:10" ht="26.4" x14ac:dyDescent="0.3">
      <c r="A8" s="5" t="s">
        <v>14</v>
      </c>
      <c r="B8" s="6" t="s">
        <v>15</v>
      </c>
      <c r="C8" s="6" t="s">
        <v>16</v>
      </c>
      <c r="D8" s="6" t="s">
        <v>17</v>
      </c>
      <c r="E8" s="6" t="s">
        <v>18</v>
      </c>
      <c r="F8" s="7" t="s">
        <v>13</v>
      </c>
    </row>
    <row r="9" spans="1:10" ht="26.4" x14ac:dyDescent="0.3">
      <c r="A9" s="2" t="s">
        <v>19</v>
      </c>
      <c r="B9" s="3" t="s">
        <v>20</v>
      </c>
      <c r="C9" s="3" t="s">
        <v>21</v>
      </c>
      <c r="D9" s="3" t="s">
        <v>22</v>
      </c>
      <c r="E9" s="3" t="s">
        <v>23</v>
      </c>
      <c r="F9" s="4" t="s">
        <v>13</v>
      </c>
    </row>
    <row r="10" spans="1:10" ht="26.4" x14ac:dyDescent="0.3">
      <c r="A10" s="5" t="s">
        <v>24</v>
      </c>
      <c r="B10" s="6" t="s">
        <v>25</v>
      </c>
      <c r="C10" s="6" t="s">
        <v>26</v>
      </c>
      <c r="D10" s="6" t="s">
        <v>27</v>
      </c>
      <c r="E10" s="6" t="s">
        <v>28</v>
      </c>
      <c r="F10" s="7" t="s">
        <v>13</v>
      </c>
    </row>
    <row r="11" spans="1:10" ht="26.4" x14ac:dyDescent="0.3">
      <c r="A11" s="2" t="s">
        <v>29</v>
      </c>
      <c r="B11" s="3" t="s">
        <v>30</v>
      </c>
      <c r="C11" s="3" t="s">
        <v>31</v>
      </c>
      <c r="D11" s="3" t="s">
        <v>32</v>
      </c>
      <c r="E11" s="3" t="s">
        <v>33</v>
      </c>
      <c r="F11" s="4" t="s">
        <v>13</v>
      </c>
    </row>
    <row r="12" spans="1:10" ht="26.4" x14ac:dyDescent="0.3">
      <c r="A12" s="5" t="s">
        <v>34</v>
      </c>
      <c r="B12" s="6" t="s">
        <v>35</v>
      </c>
      <c r="C12" s="6" t="s">
        <v>36</v>
      </c>
      <c r="D12" s="6" t="s">
        <v>37</v>
      </c>
      <c r="E12" s="6" t="s">
        <v>38</v>
      </c>
      <c r="F12" s="7" t="s">
        <v>13</v>
      </c>
    </row>
    <row r="13" spans="1:10" ht="26.4" x14ac:dyDescent="0.3">
      <c r="A13" s="2" t="s">
        <v>39</v>
      </c>
      <c r="B13" s="3" t="s">
        <v>40</v>
      </c>
      <c r="C13" s="3" t="s">
        <v>41</v>
      </c>
      <c r="D13" s="3" t="s">
        <v>42</v>
      </c>
      <c r="E13" s="3" t="s">
        <v>43</v>
      </c>
      <c r="F13" s="4" t="s">
        <v>13</v>
      </c>
    </row>
    <row r="17" spans="1:10" ht="15" customHeight="1" x14ac:dyDescent="0.3">
      <c r="A17" s="104" t="s">
        <v>44</v>
      </c>
      <c r="B17" s="104"/>
      <c r="C17" s="104"/>
      <c r="D17" s="104"/>
      <c r="E17" s="104"/>
      <c r="F17" s="104"/>
      <c r="G17" s="104"/>
      <c r="H17" s="104"/>
      <c r="I17" s="104"/>
      <c r="J17" s="104"/>
    </row>
    <row r="18" spans="1:10" ht="15" customHeight="1" x14ac:dyDescent="0.3">
      <c r="A18" s="8" t="s">
        <v>45</v>
      </c>
      <c r="B18" s="105" t="s">
        <v>46</v>
      </c>
      <c r="C18" s="105"/>
      <c r="D18" s="105"/>
      <c r="E18" s="105"/>
      <c r="F18" s="105"/>
      <c r="G18" s="105"/>
      <c r="H18" s="105"/>
      <c r="I18" s="105"/>
      <c r="J18" s="105"/>
    </row>
    <row r="19" spans="1:10" ht="23.85" customHeight="1" x14ac:dyDescent="0.3">
      <c r="A19" s="8" t="s">
        <v>47</v>
      </c>
      <c r="B19" s="106" t="s">
        <v>48</v>
      </c>
      <c r="C19" s="106"/>
      <c r="D19" s="106"/>
      <c r="E19" s="106"/>
      <c r="F19" s="106"/>
      <c r="G19" s="106"/>
      <c r="H19" s="106"/>
      <c r="I19" s="106"/>
      <c r="J19" s="106"/>
    </row>
    <row r="20" spans="1:10" ht="23.85" customHeight="1" x14ac:dyDescent="0.3">
      <c r="A20" s="8" t="s">
        <v>49</v>
      </c>
      <c r="B20" s="105" t="s">
        <v>50</v>
      </c>
      <c r="C20" s="105"/>
      <c r="D20" s="105"/>
      <c r="E20" s="105"/>
      <c r="F20" s="105"/>
      <c r="G20" s="105"/>
      <c r="H20" s="105"/>
      <c r="I20" s="105"/>
      <c r="J20" s="105"/>
    </row>
    <row r="21" spans="1:10" ht="15" customHeight="1" x14ac:dyDescent="0.3">
      <c r="A21" s="8" t="s">
        <v>51</v>
      </c>
      <c r="B21" s="106" t="s">
        <v>52</v>
      </c>
      <c r="C21" s="106"/>
      <c r="D21" s="106"/>
      <c r="E21" s="106"/>
      <c r="F21" s="106"/>
      <c r="G21" s="106"/>
      <c r="H21" s="106"/>
      <c r="I21" s="106"/>
      <c r="J21" s="106"/>
    </row>
    <row r="22" spans="1:10" ht="23.85" customHeight="1" x14ac:dyDescent="0.3">
      <c r="A22" s="8" t="s">
        <v>53</v>
      </c>
      <c r="B22" s="105" t="s">
        <v>54</v>
      </c>
      <c r="C22" s="105"/>
      <c r="D22" s="105"/>
      <c r="E22" s="105"/>
      <c r="F22" s="105"/>
      <c r="G22" s="105"/>
      <c r="H22" s="105"/>
      <c r="I22" s="105"/>
      <c r="J22" s="105"/>
    </row>
    <row r="23" spans="1:10" ht="23.85" customHeight="1" x14ac:dyDescent="0.3">
      <c r="A23" s="8" t="s">
        <v>55</v>
      </c>
      <c r="B23" s="106" t="s">
        <v>56</v>
      </c>
      <c r="C23" s="106"/>
      <c r="D23" s="106"/>
      <c r="E23" s="106"/>
      <c r="F23" s="106"/>
      <c r="G23" s="106"/>
      <c r="H23" s="106"/>
      <c r="I23" s="106"/>
      <c r="J23" s="106"/>
    </row>
    <row r="24" spans="1:10" ht="15" customHeight="1" x14ac:dyDescent="0.3">
      <c r="A24" s="8" t="s">
        <v>57</v>
      </c>
      <c r="B24" s="105" t="s">
        <v>58</v>
      </c>
      <c r="C24" s="105"/>
      <c r="D24" s="105"/>
      <c r="E24" s="105"/>
      <c r="F24" s="105"/>
      <c r="G24" s="105"/>
      <c r="H24" s="105"/>
      <c r="I24" s="105"/>
      <c r="J24" s="105"/>
    </row>
  </sheetData>
  <mergeCells count="10">
    <mergeCell ref="B20:J20"/>
    <mergeCell ref="B21:J21"/>
    <mergeCell ref="B22:J22"/>
    <mergeCell ref="B23:J23"/>
    <mergeCell ref="B24:J24"/>
    <mergeCell ref="A2:J2"/>
    <mergeCell ref="A3:J3"/>
    <mergeCell ref="A17:J17"/>
    <mergeCell ref="B18:J18"/>
    <mergeCell ref="B19:J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N206"/>
  <sheetViews>
    <sheetView showGridLines="0" tabSelected="1" zoomScale="85" zoomScaleNormal="85" workbookViewId="0">
      <pane ySplit="5" topLeftCell="A11" activePane="bottomLeft" state="frozen"/>
      <selection pane="bottomLeft" activeCell="A2" sqref="A2:N31"/>
    </sheetView>
  </sheetViews>
  <sheetFormatPr defaultColWidth="8.6640625" defaultRowHeight="14.4" x14ac:dyDescent="0.3"/>
  <cols>
    <col min="1" max="1" width="12" customWidth="1"/>
    <col min="2" max="2" width="7" customWidth="1"/>
    <col min="3" max="4" width="14" customWidth="1"/>
    <col min="5" max="5" width="12" customWidth="1"/>
    <col min="6" max="7" width="10" customWidth="1"/>
    <col min="8" max="8" width="13" customWidth="1"/>
    <col min="9" max="9" width="14" customWidth="1"/>
    <col min="10" max="10" width="18.33203125" customWidth="1"/>
    <col min="11" max="11" width="15.21875" customWidth="1"/>
    <col min="12" max="12" width="17.88671875" customWidth="1"/>
    <col min="13" max="13" width="10" customWidth="1"/>
    <col min="14" max="14" width="15.109375" customWidth="1"/>
  </cols>
  <sheetData>
    <row r="1" spans="1:14" ht="9.75" customHeight="1" x14ac:dyDescent="0.3"/>
    <row r="2" spans="1:14" ht="36" customHeight="1" x14ac:dyDescent="0.3">
      <c r="A2" s="102" t="s">
        <v>59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</row>
    <row r="3" spans="1:14" ht="19.5" customHeight="1" x14ac:dyDescent="0.3">
      <c r="A3" s="103" t="s">
        <v>60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</row>
    <row r="4" spans="1:14" ht="7.5" customHeight="1" x14ac:dyDescent="0.3"/>
    <row r="5" spans="1:14" ht="30.6" customHeight="1" x14ac:dyDescent="0.3">
      <c r="A5" s="1" t="s">
        <v>61</v>
      </c>
      <c r="B5" s="1" t="s">
        <v>62</v>
      </c>
      <c r="C5" s="1" t="s">
        <v>63</v>
      </c>
      <c r="D5" s="1" t="s">
        <v>64</v>
      </c>
      <c r="E5" s="1" t="s">
        <v>65</v>
      </c>
      <c r="F5" s="1" t="s">
        <v>66</v>
      </c>
      <c r="G5" s="1" t="s">
        <v>67</v>
      </c>
      <c r="H5" s="1" t="s">
        <v>68</v>
      </c>
      <c r="I5" s="1" t="s">
        <v>69</v>
      </c>
      <c r="J5" s="1" t="s">
        <v>70</v>
      </c>
      <c r="K5" s="1" t="s">
        <v>71</v>
      </c>
      <c r="L5" s="1" t="s">
        <v>72</v>
      </c>
      <c r="M5" s="1" t="s">
        <v>73</v>
      </c>
      <c r="N5" s="1" t="s">
        <v>74</v>
      </c>
    </row>
    <row r="6" spans="1:14" x14ac:dyDescent="0.3">
      <c r="A6" s="9" t="s">
        <v>75</v>
      </c>
      <c r="B6" s="10">
        <v>56</v>
      </c>
      <c r="C6" s="11">
        <v>48353</v>
      </c>
      <c r="D6" s="11">
        <v>31258</v>
      </c>
      <c r="E6" s="10">
        <v>675</v>
      </c>
      <c r="F6" s="10">
        <v>20</v>
      </c>
      <c r="G6" s="9" t="s">
        <v>76</v>
      </c>
      <c r="H6" s="9" t="s">
        <v>77</v>
      </c>
      <c r="I6" s="9" t="s">
        <v>78</v>
      </c>
      <c r="J6" s="9" t="s">
        <v>79</v>
      </c>
      <c r="K6" s="10">
        <v>120</v>
      </c>
      <c r="L6" s="12">
        <v>0.105</v>
      </c>
      <c r="M6" s="13">
        <v>0.64645420139391596</v>
      </c>
      <c r="N6" s="14" t="s">
        <v>80</v>
      </c>
    </row>
    <row r="7" spans="1:14" x14ac:dyDescent="0.3">
      <c r="A7" s="15" t="s">
        <v>81</v>
      </c>
      <c r="B7" s="16">
        <v>69</v>
      </c>
      <c r="C7" s="17">
        <v>57462</v>
      </c>
      <c r="D7" s="17">
        <v>23262</v>
      </c>
      <c r="E7" s="16">
        <v>586</v>
      </c>
      <c r="F7" s="16">
        <v>6</v>
      </c>
      <c r="G7" s="15" t="s">
        <v>82</v>
      </c>
      <c r="H7" s="15" t="s">
        <v>77</v>
      </c>
      <c r="I7" s="15" t="s">
        <v>83</v>
      </c>
      <c r="J7" s="15" t="s">
        <v>84</v>
      </c>
      <c r="K7" s="16">
        <v>48</v>
      </c>
      <c r="L7" s="18">
        <v>0.13500000000000001</v>
      </c>
      <c r="M7" s="19">
        <v>0.40482405763809098</v>
      </c>
      <c r="N7" s="20" t="s">
        <v>80</v>
      </c>
    </row>
    <row r="8" spans="1:14" x14ac:dyDescent="0.3">
      <c r="A8" s="9" t="s">
        <v>85</v>
      </c>
      <c r="B8" s="10">
        <v>46</v>
      </c>
      <c r="C8" s="11">
        <v>44219</v>
      </c>
      <c r="D8" s="11">
        <v>26530</v>
      </c>
      <c r="E8" s="10">
        <v>781</v>
      </c>
      <c r="F8" s="10">
        <v>26</v>
      </c>
      <c r="G8" s="9" t="s">
        <v>82</v>
      </c>
      <c r="H8" s="9" t="s">
        <v>86</v>
      </c>
      <c r="I8" s="9" t="s">
        <v>78</v>
      </c>
      <c r="J8" s="9" t="s">
        <v>84</v>
      </c>
      <c r="K8" s="10">
        <v>60</v>
      </c>
      <c r="L8" s="12">
        <v>7.4999999999999997E-2</v>
      </c>
      <c r="M8" s="13">
        <v>0.59996833940161498</v>
      </c>
      <c r="N8" s="4" t="s">
        <v>87</v>
      </c>
    </row>
    <row r="9" spans="1:14" x14ac:dyDescent="0.3">
      <c r="A9" s="15" t="s">
        <v>88</v>
      </c>
      <c r="B9" s="16">
        <v>32</v>
      </c>
      <c r="C9" s="17">
        <v>56307</v>
      </c>
      <c r="D9" s="17">
        <v>11531</v>
      </c>
      <c r="E9" s="16">
        <v>549</v>
      </c>
      <c r="F9" s="16">
        <v>11</v>
      </c>
      <c r="G9" s="15" t="s">
        <v>82</v>
      </c>
      <c r="H9" s="15" t="s">
        <v>89</v>
      </c>
      <c r="I9" s="15" t="s">
        <v>90</v>
      </c>
      <c r="J9" s="15" t="s">
        <v>79</v>
      </c>
      <c r="K9" s="16">
        <v>120</v>
      </c>
      <c r="L9" s="18">
        <v>0.17499999999999999</v>
      </c>
      <c r="M9" s="19">
        <v>0.20478803701138401</v>
      </c>
      <c r="N9" s="20" t="s">
        <v>80</v>
      </c>
    </row>
    <row r="10" spans="1:14" x14ac:dyDescent="0.3">
      <c r="A10" s="9" t="s">
        <v>91</v>
      </c>
      <c r="B10" s="10">
        <v>60</v>
      </c>
      <c r="C10" s="11">
        <v>37034</v>
      </c>
      <c r="D10" s="11">
        <v>27871</v>
      </c>
      <c r="E10" s="10">
        <v>500</v>
      </c>
      <c r="F10" s="10">
        <v>19</v>
      </c>
      <c r="G10" s="9" t="s">
        <v>76</v>
      </c>
      <c r="H10" s="9" t="s">
        <v>77</v>
      </c>
      <c r="I10" s="9" t="s">
        <v>92</v>
      </c>
      <c r="J10" s="9" t="s">
        <v>79</v>
      </c>
      <c r="K10" s="10">
        <v>36</v>
      </c>
      <c r="L10" s="12">
        <v>0.17499999999999999</v>
      </c>
      <c r="M10" s="13">
        <v>0.75257871145433897</v>
      </c>
      <c r="N10" s="14" t="s">
        <v>80</v>
      </c>
    </row>
    <row r="11" spans="1:14" x14ac:dyDescent="0.3">
      <c r="A11" s="15" t="s">
        <v>93</v>
      </c>
      <c r="B11" s="16">
        <v>25</v>
      </c>
      <c r="C11" s="17">
        <v>47886</v>
      </c>
      <c r="D11" s="17">
        <v>18106</v>
      </c>
      <c r="E11" s="16">
        <v>835</v>
      </c>
      <c r="F11" s="16">
        <v>13</v>
      </c>
      <c r="G11" s="15" t="s">
        <v>82</v>
      </c>
      <c r="H11" s="15" t="s">
        <v>94</v>
      </c>
      <c r="I11" s="15" t="s">
        <v>90</v>
      </c>
      <c r="J11" s="15" t="s">
        <v>95</v>
      </c>
      <c r="K11" s="16">
        <v>60</v>
      </c>
      <c r="L11" s="18">
        <v>7.4999999999999997E-2</v>
      </c>
      <c r="M11" s="19">
        <v>0.37810633588105103</v>
      </c>
      <c r="N11" s="7" t="s">
        <v>87</v>
      </c>
    </row>
    <row r="12" spans="1:14" x14ac:dyDescent="0.3">
      <c r="A12" s="9" t="s">
        <v>96</v>
      </c>
      <c r="B12" s="10">
        <v>38</v>
      </c>
      <c r="C12" s="11">
        <v>54748</v>
      </c>
      <c r="D12" s="11">
        <v>25374</v>
      </c>
      <c r="E12" s="10">
        <v>760</v>
      </c>
      <c r="F12" s="10">
        <v>9</v>
      </c>
      <c r="G12" s="9" t="s">
        <v>76</v>
      </c>
      <c r="H12" s="9" t="s">
        <v>77</v>
      </c>
      <c r="I12" s="9" t="s">
        <v>90</v>
      </c>
      <c r="J12" s="9" t="s">
        <v>84</v>
      </c>
      <c r="K12" s="10">
        <v>60</v>
      </c>
      <c r="L12" s="12">
        <v>7.4999999999999997E-2</v>
      </c>
      <c r="M12" s="13">
        <v>0.46346898516840801</v>
      </c>
      <c r="N12" s="4" t="s">
        <v>87</v>
      </c>
    </row>
    <row r="13" spans="1:14" x14ac:dyDescent="0.3">
      <c r="A13" s="15" t="s">
        <v>97</v>
      </c>
      <c r="B13" s="16">
        <v>56</v>
      </c>
      <c r="C13" s="17">
        <v>49488</v>
      </c>
      <c r="D13" s="17">
        <v>6279</v>
      </c>
      <c r="E13" s="16">
        <v>599</v>
      </c>
      <c r="F13" s="16">
        <v>22</v>
      </c>
      <c r="G13" s="15" t="s">
        <v>82</v>
      </c>
      <c r="H13" s="15" t="s">
        <v>86</v>
      </c>
      <c r="I13" s="15" t="s">
        <v>90</v>
      </c>
      <c r="J13" s="15" t="s">
        <v>79</v>
      </c>
      <c r="K13" s="16">
        <v>120</v>
      </c>
      <c r="L13" s="18">
        <v>0.13500000000000001</v>
      </c>
      <c r="M13" s="19">
        <v>0.12687924345295801</v>
      </c>
      <c r="N13" s="20" t="s">
        <v>80</v>
      </c>
    </row>
    <row r="14" spans="1:14" x14ac:dyDescent="0.3">
      <c r="A14" s="9" t="s">
        <v>98</v>
      </c>
      <c r="B14" s="10">
        <v>36</v>
      </c>
      <c r="C14" s="11">
        <v>25918</v>
      </c>
      <c r="D14" s="11">
        <v>25041</v>
      </c>
      <c r="E14" s="10">
        <v>777</v>
      </c>
      <c r="F14" s="10">
        <v>29</v>
      </c>
      <c r="G14" s="9" t="s">
        <v>76</v>
      </c>
      <c r="H14" s="9" t="s">
        <v>99</v>
      </c>
      <c r="I14" s="9" t="s">
        <v>83</v>
      </c>
      <c r="J14" s="9" t="s">
        <v>79</v>
      </c>
      <c r="K14" s="10">
        <v>24</v>
      </c>
      <c r="L14" s="12">
        <v>7.4999999999999997E-2</v>
      </c>
      <c r="M14" s="13">
        <v>0.96616251253954799</v>
      </c>
      <c r="N14" s="14" t="s">
        <v>80</v>
      </c>
    </row>
    <row r="15" spans="1:14" x14ac:dyDescent="0.3">
      <c r="A15" s="15" t="s">
        <v>100</v>
      </c>
      <c r="B15" s="16">
        <v>40</v>
      </c>
      <c r="C15" s="17">
        <v>43415</v>
      </c>
      <c r="D15" s="17">
        <v>2065</v>
      </c>
      <c r="E15" s="16">
        <v>382</v>
      </c>
      <c r="F15" s="16">
        <v>30</v>
      </c>
      <c r="G15" s="15" t="s">
        <v>76</v>
      </c>
      <c r="H15" s="15" t="s">
        <v>77</v>
      </c>
      <c r="I15" s="15" t="s">
        <v>83</v>
      </c>
      <c r="J15" s="15" t="s">
        <v>84</v>
      </c>
      <c r="K15" s="16">
        <v>36</v>
      </c>
      <c r="L15" s="18">
        <v>0.17499999999999999</v>
      </c>
      <c r="M15" s="19">
        <v>4.7564205919613002E-2</v>
      </c>
      <c r="N15" s="20" t="s">
        <v>80</v>
      </c>
    </row>
    <row r="16" spans="1:14" x14ac:dyDescent="0.3">
      <c r="A16" s="9" t="s">
        <v>101</v>
      </c>
      <c r="B16" s="10">
        <v>28</v>
      </c>
      <c r="C16" s="11">
        <v>75162</v>
      </c>
      <c r="D16" s="11">
        <v>17793</v>
      </c>
      <c r="E16" s="10">
        <v>757</v>
      </c>
      <c r="F16" s="10">
        <v>9</v>
      </c>
      <c r="G16" s="9" t="s">
        <v>76</v>
      </c>
      <c r="H16" s="9" t="s">
        <v>86</v>
      </c>
      <c r="I16" s="9" t="s">
        <v>90</v>
      </c>
      <c r="J16" s="9" t="s">
        <v>79</v>
      </c>
      <c r="K16" s="10">
        <v>120</v>
      </c>
      <c r="L16" s="12">
        <v>7.4999999999999997E-2</v>
      </c>
      <c r="M16" s="13">
        <v>0.236728666081265</v>
      </c>
      <c r="N16" s="14" t="s">
        <v>80</v>
      </c>
    </row>
    <row r="17" spans="1:14" x14ac:dyDescent="0.3">
      <c r="A17" s="15" t="s">
        <v>102</v>
      </c>
      <c r="B17" s="16">
        <v>28</v>
      </c>
      <c r="C17" s="17">
        <v>42613</v>
      </c>
      <c r="D17" s="17">
        <v>6356</v>
      </c>
      <c r="E17" s="16">
        <v>597</v>
      </c>
      <c r="F17" s="16">
        <v>18</v>
      </c>
      <c r="G17" s="15" t="s">
        <v>76</v>
      </c>
      <c r="H17" s="15" t="s">
        <v>77</v>
      </c>
      <c r="I17" s="15" t="s">
        <v>83</v>
      </c>
      <c r="J17" s="15" t="s">
        <v>84</v>
      </c>
      <c r="K17" s="16">
        <v>36</v>
      </c>
      <c r="L17" s="18">
        <v>0.13500000000000001</v>
      </c>
      <c r="M17" s="19">
        <v>0.149156360734987</v>
      </c>
      <c r="N17" s="20" t="s">
        <v>80</v>
      </c>
    </row>
    <row r="18" spans="1:14" x14ac:dyDescent="0.3">
      <c r="A18" s="9" t="s">
        <v>103</v>
      </c>
      <c r="B18" s="10">
        <v>41</v>
      </c>
      <c r="C18" s="11">
        <v>50237</v>
      </c>
      <c r="D18" s="11">
        <v>25064</v>
      </c>
      <c r="E18" s="10">
        <v>663</v>
      </c>
      <c r="F18" s="10">
        <v>18</v>
      </c>
      <c r="G18" s="9" t="s">
        <v>76</v>
      </c>
      <c r="H18" s="9" t="s">
        <v>86</v>
      </c>
      <c r="I18" s="9" t="s">
        <v>78</v>
      </c>
      <c r="J18" s="9" t="s">
        <v>79</v>
      </c>
      <c r="K18" s="10">
        <v>36</v>
      </c>
      <c r="L18" s="12">
        <v>0.105</v>
      </c>
      <c r="M18" s="13">
        <v>0.49891514222584998</v>
      </c>
      <c r="N18" s="14" t="s">
        <v>80</v>
      </c>
    </row>
    <row r="19" spans="1:14" x14ac:dyDescent="0.3">
      <c r="A19" s="15" t="s">
        <v>104</v>
      </c>
      <c r="B19" s="16">
        <v>53</v>
      </c>
      <c r="C19" s="17">
        <v>48699</v>
      </c>
      <c r="D19" s="17">
        <v>20554</v>
      </c>
      <c r="E19" s="16">
        <v>579</v>
      </c>
      <c r="F19" s="16">
        <v>22</v>
      </c>
      <c r="G19" s="15" t="s">
        <v>76</v>
      </c>
      <c r="H19" s="15" t="s">
        <v>89</v>
      </c>
      <c r="I19" s="15" t="s">
        <v>92</v>
      </c>
      <c r="J19" s="15" t="s">
        <v>84</v>
      </c>
      <c r="K19" s="16">
        <v>60</v>
      </c>
      <c r="L19" s="18">
        <v>0.13500000000000001</v>
      </c>
      <c r="M19" s="19">
        <v>0.422062054662313</v>
      </c>
      <c r="N19" s="20" t="s">
        <v>80</v>
      </c>
    </row>
    <row r="20" spans="1:14" x14ac:dyDescent="0.3">
      <c r="A20" s="9" t="s">
        <v>105</v>
      </c>
      <c r="B20" s="10">
        <v>57</v>
      </c>
      <c r="C20" s="11">
        <v>49488</v>
      </c>
      <c r="D20" s="11">
        <v>13834</v>
      </c>
      <c r="E20" s="10">
        <v>639</v>
      </c>
      <c r="F20" s="10">
        <v>31</v>
      </c>
      <c r="G20" s="9" t="s">
        <v>82</v>
      </c>
      <c r="H20" s="9" t="s">
        <v>94</v>
      </c>
      <c r="I20" s="9" t="s">
        <v>83</v>
      </c>
      <c r="J20" s="9" t="s">
        <v>95</v>
      </c>
      <c r="K20" s="10">
        <v>48</v>
      </c>
      <c r="L20" s="12">
        <v>0.13500000000000001</v>
      </c>
      <c r="M20" s="13">
        <v>0.27954251535725799</v>
      </c>
      <c r="N20" s="4" t="s">
        <v>87</v>
      </c>
    </row>
    <row r="21" spans="1:14" x14ac:dyDescent="0.3">
      <c r="A21" s="15" t="s">
        <v>106</v>
      </c>
      <c r="B21" s="16">
        <v>41</v>
      </c>
      <c r="C21" s="17">
        <v>69356</v>
      </c>
      <c r="D21" s="17">
        <v>31475</v>
      </c>
      <c r="E21" s="16">
        <v>815</v>
      </c>
      <c r="F21" s="16">
        <v>19</v>
      </c>
      <c r="G21" s="15" t="s">
        <v>76</v>
      </c>
      <c r="H21" s="15" t="s">
        <v>99</v>
      </c>
      <c r="I21" s="15" t="s">
        <v>83</v>
      </c>
      <c r="J21" s="15" t="s">
        <v>79</v>
      </c>
      <c r="K21" s="16">
        <v>36</v>
      </c>
      <c r="L21" s="18">
        <v>7.4999999999999997E-2</v>
      </c>
      <c r="M21" s="19">
        <v>0.45381798258261702</v>
      </c>
      <c r="N21" s="20" t="s">
        <v>80</v>
      </c>
    </row>
    <row r="22" spans="1:14" x14ac:dyDescent="0.3">
      <c r="A22" s="9" t="s">
        <v>107</v>
      </c>
      <c r="B22" s="10">
        <v>20</v>
      </c>
      <c r="C22" s="11">
        <v>62113</v>
      </c>
      <c r="D22" s="11">
        <v>12827</v>
      </c>
      <c r="E22" s="10">
        <v>407</v>
      </c>
      <c r="F22" s="10">
        <v>3</v>
      </c>
      <c r="G22" s="9" t="s">
        <v>82</v>
      </c>
      <c r="H22" s="9" t="s">
        <v>99</v>
      </c>
      <c r="I22" s="9" t="s">
        <v>90</v>
      </c>
      <c r="J22" s="9" t="s">
        <v>79</v>
      </c>
      <c r="K22" s="10">
        <v>84</v>
      </c>
      <c r="L22" s="12">
        <v>0.17499999999999999</v>
      </c>
      <c r="M22" s="13">
        <v>0.206510714343213</v>
      </c>
      <c r="N22" s="4" t="s">
        <v>87</v>
      </c>
    </row>
    <row r="23" spans="1:14" x14ac:dyDescent="0.3">
      <c r="A23" s="15" t="s">
        <v>108</v>
      </c>
      <c r="B23" s="16">
        <v>39</v>
      </c>
      <c r="C23" s="17">
        <v>35401</v>
      </c>
      <c r="D23" s="17">
        <v>-4250</v>
      </c>
      <c r="E23" s="16">
        <v>615</v>
      </c>
      <c r="F23" s="16">
        <v>32</v>
      </c>
      <c r="G23" s="15" t="s">
        <v>76</v>
      </c>
      <c r="H23" s="15" t="s">
        <v>86</v>
      </c>
      <c r="I23" s="15" t="s">
        <v>92</v>
      </c>
      <c r="J23" s="15" t="s">
        <v>79</v>
      </c>
      <c r="K23" s="16">
        <v>60</v>
      </c>
      <c r="L23" s="18">
        <v>0.13500000000000001</v>
      </c>
      <c r="M23" s="19">
        <v>-0.120053105844468</v>
      </c>
      <c r="N23" s="20" t="s">
        <v>80</v>
      </c>
    </row>
    <row r="24" spans="1:14" x14ac:dyDescent="0.3">
      <c r="A24" s="9" t="s">
        <v>109</v>
      </c>
      <c r="B24" s="10">
        <v>19</v>
      </c>
      <c r="C24" s="11">
        <v>55388</v>
      </c>
      <c r="D24" s="11">
        <v>24109</v>
      </c>
      <c r="E24" s="10">
        <v>413</v>
      </c>
      <c r="F24" s="10">
        <v>0</v>
      </c>
      <c r="G24" s="9" t="s">
        <v>76</v>
      </c>
      <c r="H24" s="9" t="s">
        <v>86</v>
      </c>
      <c r="I24" s="9" t="s">
        <v>78</v>
      </c>
      <c r="J24" s="9" t="s">
        <v>95</v>
      </c>
      <c r="K24" s="10">
        <v>24</v>
      </c>
      <c r="L24" s="12">
        <v>0.17499999999999999</v>
      </c>
      <c r="M24" s="13">
        <v>0.43527478876290898</v>
      </c>
      <c r="N24" s="14" t="s">
        <v>80</v>
      </c>
    </row>
    <row r="25" spans="1:14" x14ac:dyDescent="0.3">
      <c r="A25" s="15" t="s">
        <v>110</v>
      </c>
      <c r="B25" s="16">
        <v>41</v>
      </c>
      <c r="C25" s="17">
        <v>49488</v>
      </c>
      <c r="D25" s="17">
        <v>5867</v>
      </c>
      <c r="E25" s="16">
        <v>466</v>
      </c>
      <c r="F25" s="16">
        <v>12</v>
      </c>
      <c r="G25" s="15" t="s">
        <v>82</v>
      </c>
      <c r="H25" s="15" t="s">
        <v>99</v>
      </c>
      <c r="I25" s="15" t="s">
        <v>78</v>
      </c>
      <c r="J25" s="15" t="s">
        <v>79</v>
      </c>
      <c r="K25" s="16">
        <v>48</v>
      </c>
      <c r="L25" s="18">
        <v>0.17499999999999999</v>
      </c>
      <c r="M25" s="19">
        <v>0.11855399288716501</v>
      </c>
      <c r="N25" s="20" t="s">
        <v>80</v>
      </c>
    </row>
    <row r="26" spans="1:14" x14ac:dyDescent="0.3">
      <c r="A26" s="9" t="s">
        <v>111</v>
      </c>
      <c r="B26" s="10">
        <v>61</v>
      </c>
      <c r="C26" s="11">
        <v>39521</v>
      </c>
      <c r="D26" s="11">
        <v>13080</v>
      </c>
      <c r="E26" s="10">
        <v>560</v>
      </c>
      <c r="F26" s="10">
        <v>2</v>
      </c>
      <c r="G26" s="9" t="s">
        <v>76</v>
      </c>
      <c r="H26" s="9" t="s">
        <v>94</v>
      </c>
      <c r="I26" s="9" t="s">
        <v>92</v>
      </c>
      <c r="J26" s="9" t="s">
        <v>79</v>
      </c>
      <c r="K26" s="10">
        <v>84</v>
      </c>
      <c r="L26" s="12">
        <v>0.13500000000000001</v>
      </c>
      <c r="M26" s="13">
        <v>0.33096328534197</v>
      </c>
      <c r="N26" s="14" t="s">
        <v>80</v>
      </c>
    </row>
    <row r="27" spans="1:14" x14ac:dyDescent="0.3">
      <c r="A27" s="15" t="s">
        <v>112</v>
      </c>
      <c r="B27" s="16">
        <v>47</v>
      </c>
      <c r="C27" s="17">
        <v>36942</v>
      </c>
      <c r="D27" s="17">
        <v>15861</v>
      </c>
      <c r="E27" s="16">
        <v>523</v>
      </c>
      <c r="F27" s="16">
        <v>11</v>
      </c>
      <c r="G27" s="15" t="s">
        <v>82</v>
      </c>
      <c r="H27" s="15" t="s">
        <v>94</v>
      </c>
      <c r="I27" s="15" t="s">
        <v>78</v>
      </c>
      <c r="J27" s="15" t="s">
        <v>84</v>
      </c>
      <c r="K27" s="16">
        <v>84</v>
      </c>
      <c r="L27" s="18">
        <v>0.17499999999999999</v>
      </c>
      <c r="M27" s="19">
        <v>0.42934870878674702</v>
      </c>
      <c r="N27" s="7" t="s">
        <v>87</v>
      </c>
    </row>
    <row r="28" spans="1:14" x14ac:dyDescent="0.3">
      <c r="A28" s="9" t="s">
        <v>113</v>
      </c>
      <c r="B28" s="10">
        <v>55</v>
      </c>
      <c r="C28" s="11">
        <v>75575</v>
      </c>
      <c r="D28" s="11">
        <v>8608</v>
      </c>
      <c r="E28" s="10">
        <v>561</v>
      </c>
      <c r="F28" s="10">
        <v>28</v>
      </c>
      <c r="G28" s="9" t="s">
        <v>76</v>
      </c>
      <c r="H28" s="9" t="s">
        <v>77</v>
      </c>
      <c r="I28" s="9" t="s">
        <v>92</v>
      </c>
      <c r="J28" s="9" t="s">
        <v>79</v>
      </c>
      <c r="K28" s="10">
        <v>24</v>
      </c>
      <c r="L28" s="12">
        <v>0.13500000000000001</v>
      </c>
      <c r="M28" s="13">
        <v>0.113900099239166</v>
      </c>
      <c r="N28" s="14" t="s">
        <v>80</v>
      </c>
    </row>
    <row r="29" spans="1:14" x14ac:dyDescent="0.3">
      <c r="A29" s="15" t="s">
        <v>114</v>
      </c>
      <c r="B29" s="16">
        <v>19</v>
      </c>
      <c r="C29" s="17">
        <v>45488</v>
      </c>
      <c r="D29" s="17">
        <v>16050</v>
      </c>
      <c r="E29" s="16">
        <v>550</v>
      </c>
      <c r="F29" s="16">
        <v>30</v>
      </c>
      <c r="G29" s="15" t="s">
        <v>82</v>
      </c>
      <c r="H29" s="15" t="s">
        <v>94</v>
      </c>
      <c r="I29" s="15" t="s">
        <v>90</v>
      </c>
      <c r="J29" s="15" t="s">
        <v>79</v>
      </c>
      <c r="K29" s="16">
        <v>48</v>
      </c>
      <c r="L29" s="18">
        <v>0.13500000000000001</v>
      </c>
      <c r="M29" s="19">
        <v>0.35284030953218398</v>
      </c>
      <c r="N29" s="20" t="s">
        <v>80</v>
      </c>
    </row>
    <row r="30" spans="1:14" x14ac:dyDescent="0.3">
      <c r="A30" s="9" t="s">
        <v>115</v>
      </c>
      <c r="B30" s="10">
        <v>38</v>
      </c>
      <c r="C30" s="11">
        <v>74225</v>
      </c>
      <c r="D30" s="11">
        <v>8758</v>
      </c>
      <c r="E30" s="10">
        <v>825</v>
      </c>
      <c r="F30" s="10">
        <v>35</v>
      </c>
      <c r="G30" s="9" t="s">
        <v>82</v>
      </c>
      <c r="H30" s="9" t="s">
        <v>99</v>
      </c>
      <c r="I30" s="9" t="s">
        <v>78</v>
      </c>
      <c r="J30" s="9" t="s">
        <v>84</v>
      </c>
      <c r="K30" s="10">
        <v>60</v>
      </c>
      <c r="L30" s="12">
        <v>7.4999999999999997E-2</v>
      </c>
      <c r="M30" s="13">
        <v>0.117992590097676</v>
      </c>
      <c r="N30" s="4" t="s">
        <v>87</v>
      </c>
    </row>
    <row r="31" spans="1:14" x14ac:dyDescent="0.3">
      <c r="A31" s="15" t="s">
        <v>116</v>
      </c>
      <c r="B31" s="16">
        <v>50</v>
      </c>
      <c r="C31" s="17">
        <v>64956</v>
      </c>
      <c r="D31" s="17">
        <v>21299</v>
      </c>
      <c r="E31" s="16">
        <v>425</v>
      </c>
      <c r="F31" s="16">
        <v>1</v>
      </c>
      <c r="G31" s="15" t="s">
        <v>76</v>
      </c>
      <c r="H31" s="15" t="s">
        <v>99</v>
      </c>
      <c r="I31" s="15" t="s">
        <v>78</v>
      </c>
      <c r="J31" s="15" t="s">
        <v>95</v>
      </c>
      <c r="K31" s="16">
        <v>12</v>
      </c>
      <c r="L31" s="18">
        <v>0.17499999999999999</v>
      </c>
      <c r="M31" s="19">
        <v>0.32789888539934697</v>
      </c>
      <c r="N31" s="20" t="s">
        <v>80</v>
      </c>
    </row>
    <row r="32" spans="1:14" x14ac:dyDescent="0.3">
      <c r="A32" s="9" t="s">
        <v>117</v>
      </c>
      <c r="B32" s="10">
        <v>29</v>
      </c>
      <c r="C32" s="11">
        <v>56118</v>
      </c>
      <c r="D32" s="11">
        <v>10170</v>
      </c>
      <c r="E32" s="10">
        <v>505</v>
      </c>
      <c r="F32" s="10">
        <v>21</v>
      </c>
      <c r="G32" s="9" t="s">
        <v>82</v>
      </c>
      <c r="H32" s="9" t="s">
        <v>94</v>
      </c>
      <c r="I32" s="9" t="s">
        <v>92</v>
      </c>
      <c r="J32" s="9" t="s">
        <v>95</v>
      </c>
      <c r="K32" s="10">
        <v>48</v>
      </c>
      <c r="L32" s="12">
        <v>0.17499999999999999</v>
      </c>
      <c r="M32" s="13">
        <v>0.181225275312734</v>
      </c>
      <c r="N32" s="14" t="s">
        <v>80</v>
      </c>
    </row>
    <row r="33" spans="1:14" x14ac:dyDescent="0.3">
      <c r="A33" s="15" t="s">
        <v>118</v>
      </c>
      <c r="B33" s="16">
        <v>39</v>
      </c>
      <c r="C33" s="17">
        <v>56788</v>
      </c>
      <c r="D33" s="17">
        <v>20241</v>
      </c>
      <c r="E33" s="16">
        <v>439</v>
      </c>
      <c r="F33" s="16">
        <v>21</v>
      </c>
      <c r="G33" s="15" t="s">
        <v>82</v>
      </c>
      <c r="H33" s="15" t="s">
        <v>94</v>
      </c>
      <c r="I33" s="15" t="s">
        <v>78</v>
      </c>
      <c r="J33" s="15" t="s">
        <v>84</v>
      </c>
      <c r="K33" s="16">
        <v>24</v>
      </c>
      <c r="L33" s="18">
        <v>0.17499999999999999</v>
      </c>
      <c r="M33" s="19">
        <v>0.35643093611326299</v>
      </c>
      <c r="N33" s="20" t="s">
        <v>80</v>
      </c>
    </row>
    <row r="34" spans="1:14" x14ac:dyDescent="0.3">
      <c r="A34" s="9" t="s">
        <v>119</v>
      </c>
      <c r="B34" s="10">
        <v>61</v>
      </c>
      <c r="C34" s="11">
        <v>28994</v>
      </c>
      <c r="D34" s="11">
        <v>29296</v>
      </c>
      <c r="E34" s="10">
        <v>361</v>
      </c>
      <c r="F34" s="10">
        <v>30</v>
      </c>
      <c r="G34" s="9" t="s">
        <v>76</v>
      </c>
      <c r="H34" s="9" t="s">
        <v>99</v>
      </c>
      <c r="I34" s="9" t="s">
        <v>83</v>
      </c>
      <c r="J34" s="9" t="s">
        <v>95</v>
      </c>
      <c r="K34" s="10">
        <v>84</v>
      </c>
      <c r="L34" s="12">
        <v>0.17499999999999999</v>
      </c>
      <c r="M34" s="13">
        <v>1.0104159481271999</v>
      </c>
      <c r="N34" s="14" t="s">
        <v>80</v>
      </c>
    </row>
    <row r="35" spans="1:14" x14ac:dyDescent="0.3">
      <c r="A35" s="15" t="s">
        <v>120</v>
      </c>
      <c r="B35" s="16">
        <v>42</v>
      </c>
      <c r="C35" s="17">
        <v>53102</v>
      </c>
      <c r="D35" s="17">
        <v>26259</v>
      </c>
      <c r="E35" s="16">
        <v>582</v>
      </c>
      <c r="F35" s="16">
        <v>13</v>
      </c>
      <c r="G35" s="15" t="s">
        <v>76</v>
      </c>
      <c r="H35" s="15" t="s">
        <v>99</v>
      </c>
      <c r="I35" s="15" t="s">
        <v>90</v>
      </c>
      <c r="J35" s="15" t="s">
        <v>95</v>
      </c>
      <c r="K35" s="16">
        <v>60</v>
      </c>
      <c r="L35" s="18">
        <v>0.13500000000000001</v>
      </c>
      <c r="M35" s="19">
        <v>0.49450114873262802</v>
      </c>
      <c r="N35" s="20" t="s">
        <v>80</v>
      </c>
    </row>
    <row r="36" spans="1:14" x14ac:dyDescent="0.3">
      <c r="A36" s="9" t="s">
        <v>121</v>
      </c>
      <c r="B36" s="10">
        <v>66</v>
      </c>
      <c r="C36" s="11">
        <v>71255</v>
      </c>
      <c r="D36" s="11">
        <v>19346</v>
      </c>
      <c r="E36" s="10">
        <v>353</v>
      </c>
      <c r="F36" s="10">
        <v>28</v>
      </c>
      <c r="G36" s="9" t="s">
        <v>76</v>
      </c>
      <c r="H36" s="9" t="s">
        <v>99</v>
      </c>
      <c r="I36" s="9" t="s">
        <v>78</v>
      </c>
      <c r="J36" s="9" t="s">
        <v>79</v>
      </c>
      <c r="K36" s="10">
        <v>48</v>
      </c>
      <c r="L36" s="12">
        <v>0.17499999999999999</v>
      </c>
      <c r="M36" s="13">
        <v>0.27150375412251798</v>
      </c>
      <c r="N36" s="14" t="s">
        <v>80</v>
      </c>
    </row>
    <row r="37" spans="1:14" x14ac:dyDescent="0.3">
      <c r="A37" s="15" t="s">
        <v>122</v>
      </c>
      <c r="B37" s="16">
        <v>44</v>
      </c>
      <c r="C37" s="17">
        <v>60220</v>
      </c>
      <c r="D37" s="17">
        <v>12090</v>
      </c>
      <c r="E37" s="16">
        <v>645</v>
      </c>
      <c r="F37" s="16">
        <v>34</v>
      </c>
      <c r="G37" s="15" t="s">
        <v>82</v>
      </c>
      <c r="H37" s="15" t="s">
        <v>99</v>
      </c>
      <c r="I37" s="15" t="s">
        <v>78</v>
      </c>
      <c r="J37" s="15" t="s">
        <v>79</v>
      </c>
      <c r="K37" s="16">
        <v>12</v>
      </c>
      <c r="L37" s="18">
        <v>0.13500000000000001</v>
      </c>
      <c r="M37" s="19">
        <v>0.200763865825307</v>
      </c>
      <c r="N37" s="20" t="s">
        <v>80</v>
      </c>
    </row>
    <row r="38" spans="1:14" x14ac:dyDescent="0.3">
      <c r="A38" s="9" t="s">
        <v>123</v>
      </c>
      <c r="B38" s="10">
        <v>59</v>
      </c>
      <c r="C38" s="11">
        <v>52315</v>
      </c>
      <c r="D38" s="11">
        <v>21273</v>
      </c>
      <c r="E38" s="10">
        <v>823</v>
      </c>
      <c r="F38" s="10">
        <v>8</v>
      </c>
      <c r="G38" s="9" t="s">
        <v>82</v>
      </c>
      <c r="H38" s="9" t="s">
        <v>99</v>
      </c>
      <c r="I38" s="9" t="s">
        <v>78</v>
      </c>
      <c r="J38" s="9" t="s">
        <v>79</v>
      </c>
      <c r="K38" s="10">
        <v>12</v>
      </c>
      <c r="L38" s="12">
        <v>7.4999999999999997E-2</v>
      </c>
      <c r="M38" s="13">
        <v>0.406632896874701</v>
      </c>
      <c r="N38" s="4" t="s">
        <v>87</v>
      </c>
    </row>
    <row r="39" spans="1:14" x14ac:dyDescent="0.3">
      <c r="A39" s="15" t="s">
        <v>124</v>
      </c>
      <c r="B39" s="16">
        <v>45</v>
      </c>
      <c r="C39" s="17">
        <v>75679</v>
      </c>
      <c r="D39" s="17">
        <v>14434</v>
      </c>
      <c r="E39" s="16">
        <v>435</v>
      </c>
      <c r="F39" s="16">
        <v>31</v>
      </c>
      <c r="G39" s="15" t="s">
        <v>82</v>
      </c>
      <c r="H39" s="15" t="s">
        <v>94</v>
      </c>
      <c r="I39" s="15" t="s">
        <v>92</v>
      </c>
      <c r="J39" s="15" t="s">
        <v>95</v>
      </c>
      <c r="K39" s="16">
        <v>36</v>
      </c>
      <c r="L39" s="18">
        <v>0.17499999999999999</v>
      </c>
      <c r="M39" s="19">
        <v>0.19072662165197701</v>
      </c>
      <c r="N39" s="20" t="s">
        <v>80</v>
      </c>
    </row>
    <row r="40" spans="1:14" x14ac:dyDescent="0.3">
      <c r="A40" s="9" t="s">
        <v>125</v>
      </c>
      <c r="B40" s="10">
        <v>33</v>
      </c>
      <c r="C40" s="11">
        <v>47224</v>
      </c>
      <c r="D40" s="11">
        <v>21609</v>
      </c>
      <c r="E40" s="10">
        <v>629</v>
      </c>
      <c r="F40" s="10">
        <v>26</v>
      </c>
      <c r="G40" s="9" t="s">
        <v>76</v>
      </c>
      <c r="H40" s="9" t="s">
        <v>94</v>
      </c>
      <c r="I40" s="9" t="s">
        <v>90</v>
      </c>
      <c r="J40" s="9" t="s">
        <v>79</v>
      </c>
      <c r="K40" s="10">
        <v>36</v>
      </c>
      <c r="L40" s="12">
        <v>0.13500000000000001</v>
      </c>
      <c r="M40" s="13">
        <v>0.45758512620701303</v>
      </c>
      <c r="N40" s="14" t="s">
        <v>80</v>
      </c>
    </row>
    <row r="41" spans="1:14" x14ac:dyDescent="0.3">
      <c r="A41" s="15" t="s">
        <v>126</v>
      </c>
      <c r="B41" s="16">
        <v>32</v>
      </c>
      <c r="C41" s="17">
        <v>40707</v>
      </c>
      <c r="D41" s="17">
        <v>6278</v>
      </c>
      <c r="E41" s="16">
        <v>443</v>
      </c>
      <c r="F41" s="16">
        <v>9</v>
      </c>
      <c r="G41" s="15" t="s">
        <v>76</v>
      </c>
      <c r="H41" s="15" t="s">
        <v>77</v>
      </c>
      <c r="I41" s="15" t="s">
        <v>90</v>
      </c>
      <c r="J41" s="15" t="s">
        <v>95</v>
      </c>
      <c r="K41" s="16">
        <v>120</v>
      </c>
      <c r="L41" s="18">
        <v>0.17499999999999999</v>
      </c>
      <c r="M41" s="19">
        <v>0.154224089222984</v>
      </c>
      <c r="N41" s="20" t="s">
        <v>80</v>
      </c>
    </row>
    <row r="42" spans="1:14" x14ac:dyDescent="0.3">
      <c r="A42" s="9" t="s">
        <v>127</v>
      </c>
      <c r="B42" s="10">
        <v>64</v>
      </c>
      <c r="C42" s="11">
        <v>52307</v>
      </c>
      <c r="D42" s="11">
        <v>26458</v>
      </c>
      <c r="E42" s="10">
        <v>735</v>
      </c>
      <c r="F42" s="10">
        <v>24</v>
      </c>
      <c r="G42" s="9" t="s">
        <v>82</v>
      </c>
      <c r="H42" s="9" t="s">
        <v>77</v>
      </c>
      <c r="I42" s="9" t="s">
        <v>78</v>
      </c>
      <c r="J42" s="9" t="s">
        <v>79</v>
      </c>
      <c r="K42" s="10">
        <v>24</v>
      </c>
      <c r="L42" s="12">
        <v>0.105</v>
      </c>
      <c r="M42" s="13">
        <v>0.50582140057736102</v>
      </c>
      <c r="N42" s="14" t="s">
        <v>80</v>
      </c>
    </row>
    <row r="43" spans="1:14" x14ac:dyDescent="0.3">
      <c r="A43" s="15" t="s">
        <v>128</v>
      </c>
      <c r="B43" s="16">
        <v>68</v>
      </c>
      <c r="C43" s="17">
        <v>61497</v>
      </c>
      <c r="D43" s="17">
        <v>20266</v>
      </c>
      <c r="E43" s="16">
        <v>581</v>
      </c>
      <c r="F43" s="16">
        <v>32</v>
      </c>
      <c r="G43" s="15" t="s">
        <v>76</v>
      </c>
      <c r="H43" s="15" t="s">
        <v>86</v>
      </c>
      <c r="I43" s="15" t="s">
        <v>78</v>
      </c>
      <c r="J43" s="15" t="s">
        <v>95</v>
      </c>
      <c r="K43" s="16">
        <v>48</v>
      </c>
      <c r="L43" s="18">
        <v>0.13500000000000001</v>
      </c>
      <c r="M43" s="19">
        <v>0.32954453062750999</v>
      </c>
      <c r="N43" s="20" t="s">
        <v>80</v>
      </c>
    </row>
    <row r="44" spans="1:14" x14ac:dyDescent="0.3">
      <c r="A44" s="9" t="s">
        <v>129</v>
      </c>
      <c r="B44" s="10">
        <v>61</v>
      </c>
      <c r="C44" s="11">
        <v>24233</v>
      </c>
      <c r="D44" s="11">
        <v>37668</v>
      </c>
      <c r="E44" s="10">
        <v>435</v>
      </c>
      <c r="F44" s="10">
        <v>10</v>
      </c>
      <c r="G44" s="9" t="s">
        <v>76</v>
      </c>
      <c r="H44" s="9" t="s">
        <v>77</v>
      </c>
      <c r="I44" s="9" t="s">
        <v>92</v>
      </c>
      <c r="J44" s="9" t="s">
        <v>84</v>
      </c>
      <c r="K44" s="10">
        <v>48</v>
      </c>
      <c r="L44" s="12">
        <v>0.17499999999999999</v>
      </c>
      <c r="M44" s="13">
        <v>1.55440927660628</v>
      </c>
      <c r="N44" s="14" t="s">
        <v>80</v>
      </c>
    </row>
    <row r="45" spans="1:14" x14ac:dyDescent="0.3">
      <c r="A45" s="15" t="s">
        <v>130</v>
      </c>
      <c r="B45" s="16">
        <v>69</v>
      </c>
      <c r="C45" s="17">
        <v>54273</v>
      </c>
      <c r="D45" s="17">
        <v>30448</v>
      </c>
      <c r="E45" s="16">
        <v>788</v>
      </c>
      <c r="F45" s="16">
        <v>36</v>
      </c>
      <c r="G45" s="15" t="s">
        <v>76</v>
      </c>
      <c r="H45" s="15" t="s">
        <v>94</v>
      </c>
      <c r="I45" s="15" t="s">
        <v>90</v>
      </c>
      <c r="J45" s="15" t="s">
        <v>84</v>
      </c>
      <c r="K45" s="16">
        <v>120</v>
      </c>
      <c r="L45" s="18">
        <v>7.4999999999999997E-2</v>
      </c>
      <c r="M45" s="19">
        <v>0.56101560628673597</v>
      </c>
      <c r="N45" s="7" t="s">
        <v>87</v>
      </c>
    </row>
    <row r="46" spans="1:14" x14ac:dyDescent="0.3">
      <c r="A46" s="9" t="s">
        <v>131</v>
      </c>
      <c r="B46" s="10">
        <v>20</v>
      </c>
      <c r="C46" s="11">
        <v>62155</v>
      </c>
      <c r="D46" s="11">
        <v>24529</v>
      </c>
      <c r="E46" s="10">
        <v>700</v>
      </c>
      <c r="F46" s="10">
        <v>8</v>
      </c>
      <c r="G46" s="9" t="s">
        <v>76</v>
      </c>
      <c r="H46" s="9" t="s">
        <v>77</v>
      </c>
      <c r="I46" s="9" t="s">
        <v>83</v>
      </c>
      <c r="J46" s="9" t="s">
        <v>79</v>
      </c>
      <c r="K46" s="10">
        <v>84</v>
      </c>
      <c r="L46" s="12">
        <v>0.105</v>
      </c>
      <c r="M46" s="13">
        <v>0.394642426192583</v>
      </c>
      <c r="N46" s="14" t="s">
        <v>80</v>
      </c>
    </row>
    <row r="47" spans="1:14" x14ac:dyDescent="0.3">
      <c r="A47" s="15" t="s">
        <v>132</v>
      </c>
      <c r="B47" s="16">
        <v>54</v>
      </c>
      <c r="C47" s="17">
        <v>45955</v>
      </c>
      <c r="D47" s="17">
        <v>19008</v>
      </c>
      <c r="E47" s="16">
        <v>748</v>
      </c>
      <c r="F47" s="16">
        <v>6</v>
      </c>
      <c r="G47" s="15" t="s">
        <v>76</v>
      </c>
      <c r="H47" s="15" t="s">
        <v>77</v>
      </c>
      <c r="I47" s="15" t="s">
        <v>78</v>
      </c>
      <c r="J47" s="15" t="s">
        <v>95</v>
      </c>
      <c r="K47" s="16">
        <v>84</v>
      </c>
      <c r="L47" s="18">
        <v>0.105</v>
      </c>
      <c r="M47" s="19">
        <v>0.41362202154281402</v>
      </c>
      <c r="N47" s="7" t="s">
        <v>87</v>
      </c>
    </row>
    <row r="48" spans="1:14" x14ac:dyDescent="0.3">
      <c r="A48" s="9" t="s">
        <v>133</v>
      </c>
      <c r="B48" s="10">
        <v>68</v>
      </c>
      <c r="C48" s="11">
        <v>66604</v>
      </c>
      <c r="D48" s="11">
        <v>14163</v>
      </c>
      <c r="E48" s="10">
        <v>569</v>
      </c>
      <c r="F48" s="10">
        <v>6</v>
      </c>
      <c r="G48" s="9" t="s">
        <v>82</v>
      </c>
      <c r="H48" s="9" t="s">
        <v>94</v>
      </c>
      <c r="I48" s="9" t="s">
        <v>83</v>
      </c>
      <c r="J48" s="9" t="s">
        <v>84</v>
      </c>
      <c r="K48" s="10">
        <v>120</v>
      </c>
      <c r="L48" s="12">
        <v>0.13500000000000001</v>
      </c>
      <c r="M48" s="13">
        <v>0.21264488619302099</v>
      </c>
      <c r="N48" s="14" t="s">
        <v>80</v>
      </c>
    </row>
    <row r="49" spans="1:14" x14ac:dyDescent="0.3">
      <c r="A49" s="15" t="s">
        <v>134</v>
      </c>
      <c r="B49" s="16">
        <v>24</v>
      </c>
      <c r="C49" s="17">
        <v>59618</v>
      </c>
      <c r="D49" s="17">
        <v>27539</v>
      </c>
      <c r="E49" s="16">
        <v>316</v>
      </c>
      <c r="F49" s="16">
        <v>33</v>
      </c>
      <c r="G49" s="15" t="s">
        <v>82</v>
      </c>
      <c r="H49" s="15" t="s">
        <v>99</v>
      </c>
      <c r="I49" s="15" t="s">
        <v>83</v>
      </c>
      <c r="J49" s="15" t="s">
        <v>84</v>
      </c>
      <c r="K49" s="16">
        <v>84</v>
      </c>
      <c r="L49" s="18">
        <v>0.17499999999999999</v>
      </c>
      <c r="M49" s="19">
        <v>0.46192425106511498</v>
      </c>
      <c r="N49" s="20" t="s">
        <v>80</v>
      </c>
    </row>
    <row r="50" spans="1:14" x14ac:dyDescent="0.3">
      <c r="A50" s="9" t="s">
        <v>135</v>
      </c>
      <c r="B50" s="10">
        <v>38</v>
      </c>
      <c r="C50" s="11">
        <v>82121</v>
      </c>
      <c r="D50" s="11">
        <v>18164</v>
      </c>
      <c r="E50" s="10">
        <v>568</v>
      </c>
      <c r="F50" s="10">
        <v>18</v>
      </c>
      <c r="G50" s="9" t="s">
        <v>76</v>
      </c>
      <c r="H50" s="9" t="s">
        <v>94</v>
      </c>
      <c r="I50" s="9" t="s">
        <v>90</v>
      </c>
      <c r="J50" s="9" t="s">
        <v>79</v>
      </c>
      <c r="K50" s="10">
        <v>36</v>
      </c>
      <c r="L50" s="12">
        <v>0.13500000000000001</v>
      </c>
      <c r="M50" s="13">
        <v>0.22118581118106201</v>
      </c>
      <c r="N50" s="14" t="s">
        <v>80</v>
      </c>
    </row>
    <row r="51" spans="1:14" x14ac:dyDescent="0.3">
      <c r="A51" s="15" t="s">
        <v>136</v>
      </c>
      <c r="B51" s="16">
        <v>26</v>
      </c>
      <c r="C51" s="17">
        <v>38741</v>
      </c>
      <c r="D51" s="17">
        <v>29347</v>
      </c>
      <c r="E51" s="16">
        <v>781</v>
      </c>
      <c r="F51" s="16">
        <v>19</v>
      </c>
      <c r="G51" s="15" t="s">
        <v>76</v>
      </c>
      <c r="H51" s="15" t="s">
        <v>94</v>
      </c>
      <c r="I51" s="15" t="s">
        <v>83</v>
      </c>
      <c r="J51" s="15" t="s">
        <v>79</v>
      </c>
      <c r="K51" s="16">
        <v>48</v>
      </c>
      <c r="L51" s="18">
        <v>7.4999999999999997E-2</v>
      </c>
      <c r="M51" s="19">
        <v>0.75751787511938296</v>
      </c>
      <c r="N51" s="20" t="s">
        <v>80</v>
      </c>
    </row>
    <row r="52" spans="1:14" x14ac:dyDescent="0.3">
      <c r="A52" s="9" t="s">
        <v>137</v>
      </c>
      <c r="B52" s="10">
        <v>56</v>
      </c>
      <c r="C52" s="11">
        <v>62461</v>
      </c>
      <c r="D52" s="11">
        <v>23207</v>
      </c>
      <c r="E52" s="10">
        <v>518</v>
      </c>
      <c r="F52" s="10">
        <v>24</v>
      </c>
      <c r="G52" s="9" t="s">
        <v>82</v>
      </c>
      <c r="H52" s="9" t="s">
        <v>86</v>
      </c>
      <c r="I52" s="9" t="s">
        <v>78</v>
      </c>
      <c r="J52" s="9" t="s">
        <v>95</v>
      </c>
      <c r="K52" s="10">
        <v>120</v>
      </c>
      <c r="L52" s="12">
        <v>0.17499999999999999</v>
      </c>
      <c r="M52" s="13">
        <v>0.37154384335825602</v>
      </c>
      <c r="N52" s="14" t="s">
        <v>80</v>
      </c>
    </row>
    <row r="53" spans="1:14" x14ac:dyDescent="0.3">
      <c r="A53" s="15" t="s">
        <v>138</v>
      </c>
      <c r="B53" s="16">
        <v>35</v>
      </c>
      <c r="C53" s="17">
        <v>34740</v>
      </c>
      <c r="D53" s="17">
        <v>23264</v>
      </c>
      <c r="E53" s="16">
        <v>618</v>
      </c>
      <c r="F53" s="16">
        <v>4</v>
      </c>
      <c r="G53" s="15" t="s">
        <v>82</v>
      </c>
      <c r="H53" s="15" t="s">
        <v>86</v>
      </c>
      <c r="I53" s="15" t="s">
        <v>78</v>
      </c>
      <c r="J53" s="15" t="s">
        <v>84</v>
      </c>
      <c r="K53" s="16">
        <v>48</v>
      </c>
      <c r="L53" s="18">
        <v>0.13500000000000001</v>
      </c>
      <c r="M53" s="19">
        <v>0.66966033390903901</v>
      </c>
      <c r="N53" s="20" t="s">
        <v>80</v>
      </c>
    </row>
    <row r="54" spans="1:14" x14ac:dyDescent="0.3">
      <c r="A54" s="9" t="s">
        <v>139</v>
      </c>
      <c r="B54" s="10">
        <v>21</v>
      </c>
      <c r="C54" s="11">
        <v>25770</v>
      </c>
      <c r="D54" s="11">
        <v>24756</v>
      </c>
      <c r="E54" s="10">
        <v>537</v>
      </c>
      <c r="F54" s="10">
        <v>28</v>
      </c>
      <c r="G54" s="9" t="s">
        <v>82</v>
      </c>
      <c r="H54" s="9" t="s">
        <v>89</v>
      </c>
      <c r="I54" s="9" t="s">
        <v>92</v>
      </c>
      <c r="J54" s="9" t="s">
        <v>95</v>
      </c>
      <c r="K54" s="10">
        <v>12</v>
      </c>
      <c r="L54" s="12">
        <v>0.17499999999999999</v>
      </c>
      <c r="M54" s="13">
        <v>0.96065192083818396</v>
      </c>
      <c r="N54" s="14" t="s">
        <v>80</v>
      </c>
    </row>
    <row r="55" spans="1:14" x14ac:dyDescent="0.3">
      <c r="A55" s="15" t="s">
        <v>140</v>
      </c>
      <c r="B55" s="16">
        <v>42</v>
      </c>
      <c r="C55" s="17">
        <v>19467</v>
      </c>
      <c r="D55" s="17">
        <v>12643</v>
      </c>
      <c r="E55" s="16">
        <v>844</v>
      </c>
      <c r="F55" s="16">
        <v>26</v>
      </c>
      <c r="G55" s="15" t="s">
        <v>82</v>
      </c>
      <c r="H55" s="15" t="s">
        <v>99</v>
      </c>
      <c r="I55" s="15" t="s">
        <v>90</v>
      </c>
      <c r="J55" s="15" t="s">
        <v>95</v>
      </c>
      <c r="K55" s="16">
        <v>36</v>
      </c>
      <c r="L55" s="18">
        <v>7.4999999999999997E-2</v>
      </c>
      <c r="M55" s="19">
        <v>0.64945805722504801</v>
      </c>
      <c r="N55" s="20" t="s">
        <v>80</v>
      </c>
    </row>
    <row r="56" spans="1:14" x14ac:dyDescent="0.3">
      <c r="A56" s="9" t="s">
        <v>141</v>
      </c>
      <c r="B56" s="10">
        <v>31</v>
      </c>
      <c r="C56" s="11">
        <v>58075</v>
      </c>
      <c r="D56" s="11">
        <v>11823</v>
      </c>
      <c r="E56" s="10">
        <v>584</v>
      </c>
      <c r="F56" s="10">
        <v>24</v>
      </c>
      <c r="G56" s="9" t="s">
        <v>82</v>
      </c>
      <c r="H56" s="9" t="s">
        <v>77</v>
      </c>
      <c r="I56" s="9" t="s">
        <v>90</v>
      </c>
      <c r="J56" s="9" t="s">
        <v>79</v>
      </c>
      <c r="K56" s="10">
        <v>60</v>
      </c>
      <c r="L56" s="12">
        <v>0.13500000000000001</v>
      </c>
      <c r="M56" s="13">
        <v>0.203581575548859</v>
      </c>
      <c r="N56" s="14" t="s">
        <v>80</v>
      </c>
    </row>
    <row r="57" spans="1:14" x14ac:dyDescent="0.3">
      <c r="A57" s="15" t="s">
        <v>142</v>
      </c>
      <c r="B57" s="16">
        <v>67</v>
      </c>
      <c r="C57" s="17">
        <v>52764</v>
      </c>
      <c r="D57" s="17">
        <v>11546</v>
      </c>
      <c r="E57" s="16">
        <v>336</v>
      </c>
      <c r="F57" s="16">
        <v>36</v>
      </c>
      <c r="G57" s="15" t="s">
        <v>76</v>
      </c>
      <c r="H57" s="15" t="s">
        <v>86</v>
      </c>
      <c r="I57" s="15" t="s">
        <v>83</v>
      </c>
      <c r="J57" s="15" t="s">
        <v>95</v>
      </c>
      <c r="K57" s="16">
        <v>36</v>
      </c>
      <c r="L57" s="18">
        <v>0.17499999999999999</v>
      </c>
      <c r="M57" s="19">
        <v>0.21882344022439501</v>
      </c>
      <c r="N57" s="20" t="s">
        <v>80</v>
      </c>
    </row>
    <row r="58" spans="1:14" x14ac:dyDescent="0.3">
      <c r="A58" s="9" t="s">
        <v>143</v>
      </c>
      <c r="B58" s="10">
        <v>26</v>
      </c>
      <c r="C58" s="11">
        <v>42814</v>
      </c>
      <c r="D58" s="11">
        <v>28380</v>
      </c>
      <c r="E58" s="10">
        <v>402</v>
      </c>
      <c r="F58" s="10">
        <v>14</v>
      </c>
      <c r="G58" s="9" t="s">
        <v>82</v>
      </c>
      <c r="H58" s="9" t="s">
        <v>94</v>
      </c>
      <c r="I58" s="9" t="s">
        <v>78</v>
      </c>
      <c r="J58" s="9" t="s">
        <v>95</v>
      </c>
      <c r="K58" s="10">
        <v>120</v>
      </c>
      <c r="L58" s="12">
        <v>0.17499999999999999</v>
      </c>
      <c r="M58" s="13">
        <v>0.66286728640164405</v>
      </c>
      <c r="N58" s="14" t="s">
        <v>80</v>
      </c>
    </row>
    <row r="59" spans="1:14" x14ac:dyDescent="0.3">
      <c r="A59" s="15" t="s">
        <v>144</v>
      </c>
      <c r="B59" s="16">
        <v>43</v>
      </c>
      <c r="C59" s="17">
        <v>23397</v>
      </c>
      <c r="D59" s="17">
        <v>12434</v>
      </c>
      <c r="E59" s="16">
        <v>729</v>
      </c>
      <c r="F59" s="16">
        <v>3</v>
      </c>
      <c r="G59" s="15" t="s">
        <v>82</v>
      </c>
      <c r="H59" s="15" t="s">
        <v>86</v>
      </c>
      <c r="I59" s="15" t="s">
        <v>78</v>
      </c>
      <c r="J59" s="15" t="s">
        <v>84</v>
      </c>
      <c r="K59" s="16">
        <v>60</v>
      </c>
      <c r="L59" s="18">
        <v>0.105</v>
      </c>
      <c r="M59" s="19">
        <v>0.53143565414369398</v>
      </c>
      <c r="N59" s="20" t="s">
        <v>80</v>
      </c>
    </row>
    <row r="60" spans="1:14" x14ac:dyDescent="0.3">
      <c r="A60" s="9" t="s">
        <v>145</v>
      </c>
      <c r="B60" s="10">
        <v>19</v>
      </c>
      <c r="C60" s="11">
        <v>39644</v>
      </c>
      <c r="D60" s="11">
        <v>13431</v>
      </c>
      <c r="E60" s="10">
        <v>538</v>
      </c>
      <c r="F60" s="10">
        <v>13</v>
      </c>
      <c r="G60" s="9" t="s">
        <v>82</v>
      </c>
      <c r="H60" s="9" t="s">
        <v>94</v>
      </c>
      <c r="I60" s="9" t="s">
        <v>92</v>
      </c>
      <c r="J60" s="9" t="s">
        <v>95</v>
      </c>
      <c r="K60" s="10">
        <v>12</v>
      </c>
      <c r="L60" s="12">
        <v>0.17499999999999999</v>
      </c>
      <c r="M60" s="13">
        <v>0.33879023307436201</v>
      </c>
      <c r="N60" s="14" t="s">
        <v>80</v>
      </c>
    </row>
    <row r="61" spans="1:14" x14ac:dyDescent="0.3">
      <c r="A61" s="15" t="s">
        <v>146</v>
      </c>
      <c r="B61" s="16">
        <v>37</v>
      </c>
      <c r="C61" s="17">
        <v>50061</v>
      </c>
      <c r="D61" s="17">
        <v>24300</v>
      </c>
      <c r="E61" s="16">
        <v>424</v>
      </c>
      <c r="F61" s="16">
        <v>16</v>
      </c>
      <c r="G61" s="15" t="s">
        <v>82</v>
      </c>
      <c r="H61" s="15" t="s">
        <v>99</v>
      </c>
      <c r="I61" s="15" t="s">
        <v>83</v>
      </c>
      <c r="J61" s="15" t="s">
        <v>84</v>
      </c>
      <c r="K61" s="16">
        <v>120</v>
      </c>
      <c r="L61" s="18">
        <v>0.17499999999999999</v>
      </c>
      <c r="M61" s="19">
        <v>0.48540780248097298</v>
      </c>
      <c r="N61" s="20" t="s">
        <v>80</v>
      </c>
    </row>
    <row r="62" spans="1:14" x14ac:dyDescent="0.3">
      <c r="A62" s="9" t="s">
        <v>147</v>
      </c>
      <c r="B62" s="10">
        <v>45</v>
      </c>
      <c r="C62" s="11">
        <v>61898</v>
      </c>
      <c r="D62" s="11">
        <v>17984</v>
      </c>
      <c r="E62" s="10">
        <v>487</v>
      </c>
      <c r="F62" s="10">
        <v>20</v>
      </c>
      <c r="G62" s="9" t="s">
        <v>76</v>
      </c>
      <c r="H62" s="9" t="s">
        <v>86</v>
      </c>
      <c r="I62" s="9" t="s">
        <v>78</v>
      </c>
      <c r="J62" s="9" t="s">
        <v>84</v>
      </c>
      <c r="K62" s="10">
        <v>24</v>
      </c>
      <c r="L62" s="12">
        <v>0.17499999999999999</v>
      </c>
      <c r="M62" s="13">
        <v>0.29054250541213</v>
      </c>
      <c r="N62" s="14" t="s">
        <v>80</v>
      </c>
    </row>
    <row r="63" spans="1:14" x14ac:dyDescent="0.3">
      <c r="A63" s="15" t="s">
        <v>148</v>
      </c>
      <c r="B63" s="16">
        <v>64</v>
      </c>
      <c r="C63" s="17">
        <v>49752</v>
      </c>
      <c r="D63" s="17">
        <v>16962</v>
      </c>
      <c r="E63" s="16">
        <v>555</v>
      </c>
      <c r="F63" s="16">
        <v>15</v>
      </c>
      <c r="G63" s="15" t="s">
        <v>76</v>
      </c>
      <c r="H63" s="15" t="s">
        <v>94</v>
      </c>
      <c r="I63" s="15" t="s">
        <v>90</v>
      </c>
      <c r="J63" s="15" t="s">
        <v>95</v>
      </c>
      <c r="K63" s="16">
        <v>48</v>
      </c>
      <c r="L63" s="18">
        <v>0.13500000000000001</v>
      </c>
      <c r="M63" s="19">
        <v>0.34093101784852903</v>
      </c>
      <c r="N63" s="20" t="s">
        <v>80</v>
      </c>
    </row>
    <row r="64" spans="1:14" x14ac:dyDescent="0.3">
      <c r="A64" s="9" t="s">
        <v>149</v>
      </c>
      <c r="B64" s="10">
        <v>24</v>
      </c>
      <c r="C64" s="11">
        <v>53781</v>
      </c>
      <c r="D64" s="11">
        <v>16268</v>
      </c>
      <c r="E64" s="10">
        <v>829</v>
      </c>
      <c r="F64" s="10">
        <v>25</v>
      </c>
      <c r="G64" s="9" t="s">
        <v>82</v>
      </c>
      <c r="H64" s="9" t="s">
        <v>77</v>
      </c>
      <c r="I64" s="9" t="s">
        <v>92</v>
      </c>
      <c r="J64" s="9" t="s">
        <v>95</v>
      </c>
      <c r="K64" s="10">
        <v>12</v>
      </c>
      <c r="L64" s="12">
        <v>7.4999999999999997E-2</v>
      </c>
      <c r="M64" s="13">
        <v>0.302486008069764</v>
      </c>
      <c r="N64" s="4" t="s">
        <v>87</v>
      </c>
    </row>
    <row r="65" spans="1:14" x14ac:dyDescent="0.3">
      <c r="A65" s="15" t="s">
        <v>150</v>
      </c>
      <c r="B65" s="16">
        <v>61</v>
      </c>
      <c r="C65" s="17">
        <v>44358</v>
      </c>
      <c r="D65" s="17">
        <v>1395</v>
      </c>
      <c r="E65" s="16">
        <v>691</v>
      </c>
      <c r="F65" s="16">
        <v>8</v>
      </c>
      <c r="G65" s="15" t="s">
        <v>82</v>
      </c>
      <c r="H65" s="15" t="s">
        <v>99</v>
      </c>
      <c r="I65" s="15" t="s">
        <v>90</v>
      </c>
      <c r="J65" s="15" t="s">
        <v>84</v>
      </c>
      <c r="K65" s="16">
        <v>48</v>
      </c>
      <c r="L65" s="18">
        <v>0.105</v>
      </c>
      <c r="M65" s="19">
        <v>3.1448667658595997E-2</v>
      </c>
      <c r="N65" s="7" t="s">
        <v>87</v>
      </c>
    </row>
    <row r="66" spans="1:14" x14ac:dyDescent="0.3">
      <c r="A66" s="9" t="s">
        <v>151</v>
      </c>
      <c r="B66" s="10">
        <v>25</v>
      </c>
      <c r="C66" s="11">
        <v>76238</v>
      </c>
      <c r="D66" s="11">
        <v>12265</v>
      </c>
      <c r="E66" s="10">
        <v>767</v>
      </c>
      <c r="F66" s="10">
        <v>1</v>
      </c>
      <c r="G66" s="9" t="s">
        <v>76</v>
      </c>
      <c r="H66" s="9" t="s">
        <v>94</v>
      </c>
      <c r="I66" s="9" t="s">
        <v>92</v>
      </c>
      <c r="J66" s="9" t="s">
        <v>95</v>
      </c>
      <c r="K66" s="10">
        <v>84</v>
      </c>
      <c r="L66" s="12">
        <v>7.4999999999999997E-2</v>
      </c>
      <c r="M66" s="13">
        <v>0.16087777748629301</v>
      </c>
      <c r="N66" s="4" t="s">
        <v>87</v>
      </c>
    </row>
    <row r="67" spans="1:14" x14ac:dyDescent="0.3">
      <c r="A67" s="15" t="s">
        <v>152</v>
      </c>
      <c r="B67" s="16">
        <v>64</v>
      </c>
      <c r="C67" s="17">
        <v>34726</v>
      </c>
      <c r="D67" s="17">
        <v>29453</v>
      </c>
      <c r="E67" s="16">
        <v>552</v>
      </c>
      <c r="F67" s="16">
        <v>14</v>
      </c>
      <c r="G67" s="15" t="s">
        <v>82</v>
      </c>
      <c r="H67" s="15" t="s">
        <v>77</v>
      </c>
      <c r="I67" s="15" t="s">
        <v>90</v>
      </c>
      <c r="J67" s="15" t="s">
        <v>84</v>
      </c>
      <c r="K67" s="16">
        <v>24</v>
      </c>
      <c r="L67" s="18">
        <v>0.13500000000000001</v>
      </c>
      <c r="M67" s="19">
        <v>0.84815412083165398</v>
      </c>
      <c r="N67" s="20" t="s">
        <v>80</v>
      </c>
    </row>
    <row r="68" spans="1:14" x14ac:dyDescent="0.3">
      <c r="A68" s="9" t="s">
        <v>153</v>
      </c>
      <c r="B68" s="10">
        <v>52</v>
      </c>
      <c r="C68" s="11">
        <v>39511</v>
      </c>
      <c r="D68" s="11">
        <v>15685</v>
      </c>
      <c r="E68" s="10">
        <v>475</v>
      </c>
      <c r="F68" s="10">
        <v>34</v>
      </c>
      <c r="G68" s="9" t="s">
        <v>82</v>
      </c>
      <c r="H68" s="9" t="s">
        <v>77</v>
      </c>
      <c r="I68" s="9" t="s">
        <v>83</v>
      </c>
      <c r="J68" s="9" t="s">
        <v>95</v>
      </c>
      <c r="K68" s="10">
        <v>24</v>
      </c>
      <c r="L68" s="12">
        <v>0.17499999999999999</v>
      </c>
      <c r="M68" s="13">
        <v>0.39697805674369202</v>
      </c>
      <c r="N68" s="14" t="s">
        <v>80</v>
      </c>
    </row>
    <row r="69" spans="1:14" x14ac:dyDescent="0.3">
      <c r="A69" s="15" t="s">
        <v>154</v>
      </c>
      <c r="B69" s="16">
        <v>31</v>
      </c>
      <c r="C69" s="17">
        <v>42615</v>
      </c>
      <c r="D69" s="17">
        <v>4796</v>
      </c>
      <c r="E69" s="16">
        <v>765</v>
      </c>
      <c r="F69" s="16">
        <v>23</v>
      </c>
      <c r="G69" s="15" t="s">
        <v>76</v>
      </c>
      <c r="H69" s="15" t="s">
        <v>94</v>
      </c>
      <c r="I69" s="15" t="s">
        <v>78</v>
      </c>
      <c r="J69" s="15" t="s">
        <v>84</v>
      </c>
      <c r="K69" s="16">
        <v>12</v>
      </c>
      <c r="L69" s="18">
        <v>7.4999999999999997E-2</v>
      </c>
      <c r="M69" s="19">
        <v>0.11254253197231</v>
      </c>
      <c r="N69" s="7" t="s">
        <v>87</v>
      </c>
    </row>
    <row r="70" spans="1:14" x14ac:dyDescent="0.3">
      <c r="A70" s="9" t="s">
        <v>155</v>
      </c>
      <c r="B70" s="10">
        <v>34</v>
      </c>
      <c r="C70" s="11">
        <v>58141</v>
      </c>
      <c r="D70" s="11">
        <v>11936</v>
      </c>
      <c r="E70" s="10">
        <v>588</v>
      </c>
      <c r="F70" s="10">
        <v>37</v>
      </c>
      <c r="G70" s="9" t="s">
        <v>76</v>
      </c>
      <c r="H70" s="9" t="s">
        <v>86</v>
      </c>
      <c r="I70" s="9" t="s">
        <v>90</v>
      </c>
      <c r="J70" s="9" t="s">
        <v>84</v>
      </c>
      <c r="K70" s="10">
        <v>24</v>
      </c>
      <c r="L70" s="12">
        <v>0.13500000000000001</v>
      </c>
      <c r="M70" s="13">
        <v>0.20529402659053</v>
      </c>
      <c r="N70" s="14" t="s">
        <v>80</v>
      </c>
    </row>
    <row r="71" spans="1:14" x14ac:dyDescent="0.3">
      <c r="A71" s="15" t="s">
        <v>156</v>
      </c>
      <c r="B71" s="16">
        <v>53</v>
      </c>
      <c r="C71" s="17">
        <v>34417</v>
      </c>
      <c r="D71" s="17">
        <v>22879</v>
      </c>
      <c r="E71" s="16">
        <v>349</v>
      </c>
      <c r="F71" s="16">
        <v>13</v>
      </c>
      <c r="G71" s="15" t="s">
        <v>82</v>
      </c>
      <c r="H71" s="15" t="s">
        <v>77</v>
      </c>
      <c r="I71" s="15" t="s">
        <v>83</v>
      </c>
      <c r="J71" s="15" t="s">
        <v>79</v>
      </c>
      <c r="K71" s="16">
        <v>60</v>
      </c>
      <c r="L71" s="18">
        <v>0.17499999999999999</v>
      </c>
      <c r="M71" s="19">
        <v>0.664758694831043</v>
      </c>
      <c r="N71" s="20" t="s">
        <v>80</v>
      </c>
    </row>
    <row r="72" spans="1:14" x14ac:dyDescent="0.3">
      <c r="A72" s="9" t="s">
        <v>157</v>
      </c>
      <c r="B72" s="10">
        <v>67</v>
      </c>
      <c r="C72" s="11">
        <v>49488</v>
      </c>
      <c r="D72" s="11">
        <v>22720</v>
      </c>
      <c r="E72" s="10">
        <v>303</v>
      </c>
      <c r="F72" s="10">
        <v>36</v>
      </c>
      <c r="G72" s="9" t="s">
        <v>82</v>
      </c>
      <c r="H72" s="9" t="s">
        <v>99</v>
      </c>
      <c r="I72" s="9" t="s">
        <v>90</v>
      </c>
      <c r="J72" s="9" t="s">
        <v>95</v>
      </c>
      <c r="K72" s="10">
        <v>24</v>
      </c>
      <c r="L72" s="12">
        <v>0.17499999999999999</v>
      </c>
      <c r="M72" s="13">
        <v>0.459101196249596</v>
      </c>
      <c r="N72" s="14" t="s">
        <v>80</v>
      </c>
    </row>
    <row r="73" spans="1:14" x14ac:dyDescent="0.3">
      <c r="A73" s="15" t="s">
        <v>158</v>
      </c>
      <c r="B73" s="16">
        <v>57</v>
      </c>
      <c r="C73" s="17">
        <v>52474</v>
      </c>
      <c r="D73" s="17">
        <v>17646</v>
      </c>
      <c r="E73" s="16">
        <v>799</v>
      </c>
      <c r="F73" s="16">
        <v>36</v>
      </c>
      <c r="G73" s="15" t="s">
        <v>76</v>
      </c>
      <c r="H73" s="15" t="s">
        <v>77</v>
      </c>
      <c r="I73" s="15" t="s">
        <v>83</v>
      </c>
      <c r="J73" s="15" t="s">
        <v>84</v>
      </c>
      <c r="K73" s="16">
        <v>48</v>
      </c>
      <c r="L73" s="18">
        <v>7.4999999999999997E-2</v>
      </c>
      <c r="M73" s="19">
        <v>0.33628082478942001</v>
      </c>
      <c r="N73" s="7" t="s">
        <v>87</v>
      </c>
    </row>
    <row r="74" spans="1:14" x14ac:dyDescent="0.3">
      <c r="A74" s="9" t="s">
        <v>159</v>
      </c>
      <c r="B74" s="10">
        <v>21</v>
      </c>
      <c r="C74" s="11">
        <v>39585</v>
      </c>
      <c r="D74" s="11">
        <v>14486</v>
      </c>
      <c r="E74" s="10">
        <v>522</v>
      </c>
      <c r="F74" s="10">
        <v>5</v>
      </c>
      <c r="G74" s="9" t="s">
        <v>76</v>
      </c>
      <c r="H74" s="9" t="s">
        <v>86</v>
      </c>
      <c r="I74" s="9" t="s">
        <v>92</v>
      </c>
      <c r="J74" s="9" t="s">
        <v>84</v>
      </c>
      <c r="K74" s="10">
        <v>48</v>
      </c>
      <c r="L74" s="12">
        <v>0.17499999999999999</v>
      </c>
      <c r="M74" s="13">
        <v>0.36594669698117999</v>
      </c>
      <c r="N74" s="14" t="s">
        <v>80</v>
      </c>
    </row>
    <row r="75" spans="1:14" x14ac:dyDescent="0.3">
      <c r="A75" s="15" t="s">
        <v>160</v>
      </c>
      <c r="B75" s="16">
        <v>19</v>
      </c>
      <c r="C75" s="17">
        <v>54950</v>
      </c>
      <c r="D75" s="17">
        <v>8782</v>
      </c>
      <c r="E75" s="16">
        <v>561</v>
      </c>
      <c r="F75" s="16">
        <v>17</v>
      </c>
      <c r="G75" s="15" t="s">
        <v>76</v>
      </c>
      <c r="H75" s="15" t="s">
        <v>99</v>
      </c>
      <c r="I75" s="15" t="s">
        <v>83</v>
      </c>
      <c r="J75" s="15" t="s">
        <v>95</v>
      </c>
      <c r="K75" s="16">
        <v>120</v>
      </c>
      <c r="L75" s="18">
        <v>0.13500000000000001</v>
      </c>
      <c r="M75" s="19">
        <v>0.159818016378526</v>
      </c>
      <c r="N75" s="20" t="s">
        <v>80</v>
      </c>
    </row>
    <row r="76" spans="1:14" x14ac:dyDescent="0.3">
      <c r="A76" s="9" t="s">
        <v>161</v>
      </c>
      <c r="B76" s="10">
        <v>23</v>
      </c>
      <c r="C76" s="11">
        <v>34883</v>
      </c>
      <c r="D76" s="11">
        <v>22945</v>
      </c>
      <c r="E76" s="10">
        <v>834</v>
      </c>
      <c r="F76" s="10">
        <v>21</v>
      </c>
      <c r="G76" s="9" t="s">
        <v>82</v>
      </c>
      <c r="H76" s="9" t="s">
        <v>89</v>
      </c>
      <c r="I76" s="9" t="s">
        <v>90</v>
      </c>
      <c r="J76" s="9" t="s">
        <v>95</v>
      </c>
      <c r="K76" s="10">
        <v>48</v>
      </c>
      <c r="L76" s="12">
        <v>7.4999999999999997E-2</v>
      </c>
      <c r="M76" s="13">
        <v>0.65777026058538601</v>
      </c>
      <c r="N76" s="14" t="s">
        <v>80</v>
      </c>
    </row>
    <row r="77" spans="1:14" x14ac:dyDescent="0.3">
      <c r="A77" s="15" t="s">
        <v>162</v>
      </c>
      <c r="B77" s="16">
        <v>59</v>
      </c>
      <c r="C77" s="17">
        <v>33244</v>
      </c>
      <c r="D77" s="17">
        <v>26703</v>
      </c>
      <c r="E77" s="16">
        <v>675</v>
      </c>
      <c r="F77" s="16">
        <v>17</v>
      </c>
      <c r="G77" s="15" t="s">
        <v>82</v>
      </c>
      <c r="H77" s="15" t="s">
        <v>99</v>
      </c>
      <c r="I77" s="15" t="s">
        <v>78</v>
      </c>
      <c r="J77" s="15" t="s">
        <v>95</v>
      </c>
      <c r="K77" s="16">
        <v>120</v>
      </c>
      <c r="L77" s="18">
        <v>0.105</v>
      </c>
      <c r="M77" s="19">
        <v>0.80324269041030005</v>
      </c>
      <c r="N77" s="20" t="s">
        <v>80</v>
      </c>
    </row>
    <row r="78" spans="1:14" x14ac:dyDescent="0.3">
      <c r="A78" s="9" t="s">
        <v>163</v>
      </c>
      <c r="B78" s="10">
        <v>21</v>
      </c>
      <c r="C78" s="11">
        <v>51494</v>
      </c>
      <c r="D78" s="11">
        <v>30311</v>
      </c>
      <c r="E78" s="10">
        <v>360</v>
      </c>
      <c r="F78" s="10">
        <v>1</v>
      </c>
      <c r="G78" s="9" t="s">
        <v>82</v>
      </c>
      <c r="H78" s="9" t="s">
        <v>94</v>
      </c>
      <c r="I78" s="9" t="s">
        <v>92</v>
      </c>
      <c r="J78" s="9" t="s">
        <v>79</v>
      </c>
      <c r="K78" s="10">
        <v>48</v>
      </c>
      <c r="L78" s="12">
        <v>0.17499999999999999</v>
      </c>
      <c r="M78" s="13">
        <v>0.58863168524488296</v>
      </c>
      <c r="N78" s="14" t="s">
        <v>80</v>
      </c>
    </row>
    <row r="79" spans="1:14" x14ac:dyDescent="0.3">
      <c r="A79" s="15" t="s">
        <v>164</v>
      </c>
      <c r="B79" s="16">
        <v>46</v>
      </c>
      <c r="C79" s="17">
        <v>25104</v>
      </c>
      <c r="D79" s="17">
        <v>11115</v>
      </c>
      <c r="E79" s="16">
        <v>655</v>
      </c>
      <c r="F79" s="16">
        <v>31</v>
      </c>
      <c r="G79" s="15" t="s">
        <v>76</v>
      </c>
      <c r="H79" s="15" t="s">
        <v>77</v>
      </c>
      <c r="I79" s="15" t="s">
        <v>92</v>
      </c>
      <c r="J79" s="15" t="s">
        <v>95</v>
      </c>
      <c r="K79" s="16">
        <v>60</v>
      </c>
      <c r="L79" s="18">
        <v>0.105</v>
      </c>
      <c r="M79" s="19">
        <v>0.44275812619502902</v>
      </c>
      <c r="N79" s="20" t="s">
        <v>80</v>
      </c>
    </row>
    <row r="80" spans="1:14" x14ac:dyDescent="0.3">
      <c r="A80" s="9" t="s">
        <v>165</v>
      </c>
      <c r="B80" s="10">
        <v>35</v>
      </c>
      <c r="C80" s="11">
        <v>17828</v>
      </c>
      <c r="D80" s="11">
        <v>30924</v>
      </c>
      <c r="E80" s="10">
        <v>323</v>
      </c>
      <c r="F80" s="10">
        <v>16</v>
      </c>
      <c r="G80" s="9" t="s">
        <v>82</v>
      </c>
      <c r="H80" s="9" t="s">
        <v>86</v>
      </c>
      <c r="I80" s="9" t="s">
        <v>83</v>
      </c>
      <c r="J80" s="9" t="s">
        <v>79</v>
      </c>
      <c r="K80" s="10">
        <v>120</v>
      </c>
      <c r="L80" s="12">
        <v>0.17499999999999999</v>
      </c>
      <c r="M80" s="13">
        <v>1.7345748261162199</v>
      </c>
      <c r="N80" s="14" t="s">
        <v>80</v>
      </c>
    </row>
    <row r="81" spans="1:14" x14ac:dyDescent="0.3">
      <c r="A81" s="15" t="s">
        <v>166</v>
      </c>
      <c r="B81" s="16">
        <v>43</v>
      </c>
      <c r="C81" s="17">
        <v>57992</v>
      </c>
      <c r="D81" s="17">
        <v>19547</v>
      </c>
      <c r="E81" s="16">
        <v>592</v>
      </c>
      <c r="F81" s="16">
        <v>0</v>
      </c>
      <c r="G81" s="15" t="s">
        <v>76</v>
      </c>
      <c r="H81" s="15" t="s">
        <v>94</v>
      </c>
      <c r="I81" s="15" t="s">
        <v>90</v>
      </c>
      <c r="J81" s="15" t="s">
        <v>95</v>
      </c>
      <c r="K81" s="16">
        <v>36</v>
      </c>
      <c r="L81" s="18">
        <v>0.13500000000000001</v>
      </c>
      <c r="M81" s="19">
        <v>0.33706373292868003</v>
      </c>
      <c r="N81" s="20" t="s">
        <v>80</v>
      </c>
    </row>
    <row r="82" spans="1:14" x14ac:dyDescent="0.3">
      <c r="A82" s="9" t="s">
        <v>167</v>
      </c>
      <c r="B82" s="10">
        <v>61</v>
      </c>
      <c r="C82" s="11">
        <v>65735</v>
      </c>
      <c r="D82" s="11">
        <v>20213</v>
      </c>
      <c r="E82" s="10">
        <v>655</v>
      </c>
      <c r="F82" s="10">
        <v>8</v>
      </c>
      <c r="G82" s="9" t="s">
        <v>82</v>
      </c>
      <c r="H82" s="9" t="s">
        <v>94</v>
      </c>
      <c r="I82" s="9" t="s">
        <v>83</v>
      </c>
      <c r="J82" s="9" t="s">
        <v>79</v>
      </c>
      <c r="K82" s="10">
        <v>84</v>
      </c>
      <c r="L82" s="12">
        <v>0.105</v>
      </c>
      <c r="M82" s="13">
        <v>0.30749220354453499</v>
      </c>
      <c r="N82" s="14" t="s">
        <v>80</v>
      </c>
    </row>
    <row r="83" spans="1:14" x14ac:dyDescent="0.3">
      <c r="A83" s="15" t="s">
        <v>168</v>
      </c>
      <c r="B83" s="16">
        <v>51</v>
      </c>
      <c r="C83" s="17">
        <v>42998</v>
      </c>
      <c r="D83" s="17">
        <v>27149</v>
      </c>
      <c r="E83" s="16">
        <v>328</v>
      </c>
      <c r="F83" s="16">
        <v>12</v>
      </c>
      <c r="G83" s="15" t="s">
        <v>76</v>
      </c>
      <c r="H83" s="15" t="s">
        <v>99</v>
      </c>
      <c r="I83" s="15" t="s">
        <v>92</v>
      </c>
      <c r="J83" s="15" t="s">
        <v>95</v>
      </c>
      <c r="K83" s="16">
        <v>12</v>
      </c>
      <c r="L83" s="18">
        <v>0.17499999999999999</v>
      </c>
      <c r="M83" s="19">
        <v>0.63140146053304802</v>
      </c>
      <c r="N83" s="20" t="s">
        <v>80</v>
      </c>
    </row>
    <row r="84" spans="1:14" x14ac:dyDescent="0.3">
      <c r="A84" s="9" t="s">
        <v>169</v>
      </c>
      <c r="B84" s="10">
        <v>27</v>
      </c>
      <c r="C84" s="11">
        <v>39979</v>
      </c>
      <c r="D84" s="11">
        <v>15672</v>
      </c>
      <c r="E84" s="10">
        <v>656</v>
      </c>
      <c r="F84" s="10">
        <v>35</v>
      </c>
      <c r="G84" s="9" t="s">
        <v>82</v>
      </c>
      <c r="H84" s="9" t="s">
        <v>94</v>
      </c>
      <c r="I84" s="9" t="s">
        <v>78</v>
      </c>
      <c r="J84" s="9" t="s">
        <v>79</v>
      </c>
      <c r="K84" s="10">
        <v>48</v>
      </c>
      <c r="L84" s="12">
        <v>0.105</v>
      </c>
      <c r="M84" s="13">
        <v>0.39200580304659999</v>
      </c>
      <c r="N84" s="14" t="s">
        <v>80</v>
      </c>
    </row>
    <row r="85" spans="1:14" x14ac:dyDescent="0.3">
      <c r="A85" s="15" t="s">
        <v>170</v>
      </c>
      <c r="B85" s="16">
        <v>53</v>
      </c>
      <c r="C85" s="17">
        <v>65083</v>
      </c>
      <c r="D85" s="17">
        <v>2690</v>
      </c>
      <c r="E85" s="16">
        <v>664</v>
      </c>
      <c r="F85" s="16">
        <v>36</v>
      </c>
      <c r="G85" s="15" t="s">
        <v>76</v>
      </c>
      <c r="H85" s="15" t="s">
        <v>77</v>
      </c>
      <c r="I85" s="15" t="s">
        <v>83</v>
      </c>
      <c r="J85" s="15" t="s">
        <v>84</v>
      </c>
      <c r="K85" s="16">
        <v>24</v>
      </c>
      <c r="L85" s="18">
        <v>0.105</v>
      </c>
      <c r="M85" s="19">
        <v>4.1331837807107898E-2</v>
      </c>
      <c r="N85" s="7" t="s">
        <v>87</v>
      </c>
    </row>
    <row r="86" spans="1:14" x14ac:dyDescent="0.3">
      <c r="A86" s="9" t="s">
        <v>171</v>
      </c>
      <c r="B86" s="10">
        <v>31</v>
      </c>
      <c r="C86" s="11">
        <v>32817</v>
      </c>
      <c r="D86" s="11">
        <v>25639</v>
      </c>
      <c r="E86" s="10">
        <v>708</v>
      </c>
      <c r="F86" s="10">
        <v>29</v>
      </c>
      <c r="G86" s="9" t="s">
        <v>76</v>
      </c>
      <c r="H86" s="9" t="s">
        <v>94</v>
      </c>
      <c r="I86" s="9" t="s">
        <v>90</v>
      </c>
      <c r="J86" s="9" t="s">
        <v>79</v>
      </c>
      <c r="K86" s="10">
        <v>48</v>
      </c>
      <c r="L86" s="12">
        <v>0.105</v>
      </c>
      <c r="M86" s="13">
        <v>0.78127190175823502</v>
      </c>
      <c r="N86" s="14" t="s">
        <v>80</v>
      </c>
    </row>
    <row r="87" spans="1:14" x14ac:dyDescent="0.3">
      <c r="A87" s="15" t="s">
        <v>172</v>
      </c>
      <c r="B87" s="16">
        <v>48</v>
      </c>
      <c r="C87" s="17">
        <v>29549</v>
      </c>
      <c r="D87" s="17">
        <v>22789</v>
      </c>
      <c r="E87" s="16">
        <v>565</v>
      </c>
      <c r="F87" s="16">
        <v>30</v>
      </c>
      <c r="G87" s="15" t="s">
        <v>76</v>
      </c>
      <c r="H87" s="15" t="s">
        <v>94</v>
      </c>
      <c r="I87" s="15" t="s">
        <v>83</v>
      </c>
      <c r="J87" s="15" t="s">
        <v>79</v>
      </c>
      <c r="K87" s="16">
        <v>24</v>
      </c>
      <c r="L87" s="18">
        <v>0.13500000000000001</v>
      </c>
      <c r="M87" s="19">
        <v>0.77122745270567505</v>
      </c>
      <c r="N87" s="20" t="s">
        <v>80</v>
      </c>
    </row>
    <row r="88" spans="1:14" x14ac:dyDescent="0.3">
      <c r="A88" s="9" t="s">
        <v>173</v>
      </c>
      <c r="B88" s="10">
        <v>65</v>
      </c>
      <c r="C88" s="11">
        <v>60615</v>
      </c>
      <c r="D88" s="11">
        <v>17118</v>
      </c>
      <c r="E88" s="10">
        <v>590</v>
      </c>
      <c r="F88" s="10">
        <v>22</v>
      </c>
      <c r="G88" s="9" t="s">
        <v>76</v>
      </c>
      <c r="H88" s="9" t="s">
        <v>99</v>
      </c>
      <c r="I88" s="9" t="s">
        <v>83</v>
      </c>
      <c r="J88" s="9" t="s">
        <v>84</v>
      </c>
      <c r="K88" s="10">
        <v>84</v>
      </c>
      <c r="L88" s="12">
        <v>0.13500000000000001</v>
      </c>
      <c r="M88" s="13">
        <v>0.282405345211581</v>
      </c>
      <c r="N88" s="4" t="s">
        <v>87</v>
      </c>
    </row>
    <row r="89" spans="1:14" x14ac:dyDescent="0.3">
      <c r="A89" s="15" t="s">
        <v>174</v>
      </c>
      <c r="B89" s="16">
        <v>32</v>
      </c>
      <c r="C89" s="17">
        <v>50136</v>
      </c>
      <c r="D89" s="17">
        <v>24980</v>
      </c>
      <c r="E89" s="16">
        <v>452</v>
      </c>
      <c r="F89" s="16">
        <v>27</v>
      </c>
      <c r="G89" s="15" t="s">
        <v>82</v>
      </c>
      <c r="H89" s="15" t="s">
        <v>99</v>
      </c>
      <c r="I89" s="15" t="s">
        <v>83</v>
      </c>
      <c r="J89" s="15" t="s">
        <v>95</v>
      </c>
      <c r="K89" s="16">
        <v>84</v>
      </c>
      <c r="L89" s="18">
        <v>0.17499999999999999</v>
      </c>
      <c r="M89" s="19">
        <v>0.49824477421413799</v>
      </c>
      <c r="N89" s="20" t="s">
        <v>80</v>
      </c>
    </row>
    <row r="90" spans="1:14" x14ac:dyDescent="0.3">
      <c r="A90" s="9" t="s">
        <v>175</v>
      </c>
      <c r="B90" s="10">
        <v>25</v>
      </c>
      <c r="C90" s="11">
        <v>65973</v>
      </c>
      <c r="D90" s="11">
        <v>26616</v>
      </c>
      <c r="E90" s="10">
        <v>518</v>
      </c>
      <c r="F90" s="10">
        <v>9</v>
      </c>
      <c r="G90" s="9" t="s">
        <v>76</v>
      </c>
      <c r="H90" s="9" t="s">
        <v>94</v>
      </c>
      <c r="I90" s="9" t="s">
        <v>78</v>
      </c>
      <c r="J90" s="9" t="s">
        <v>84</v>
      </c>
      <c r="K90" s="10">
        <v>84</v>
      </c>
      <c r="L90" s="12">
        <v>0.17499999999999999</v>
      </c>
      <c r="M90" s="13">
        <v>0.40343776999681702</v>
      </c>
      <c r="N90" s="14" t="s">
        <v>80</v>
      </c>
    </row>
    <row r="91" spans="1:14" x14ac:dyDescent="0.3">
      <c r="A91" s="15" t="s">
        <v>176</v>
      </c>
      <c r="B91" s="16">
        <v>31</v>
      </c>
      <c r="C91" s="17">
        <v>17896</v>
      </c>
      <c r="D91" s="17">
        <v>7904</v>
      </c>
      <c r="E91" s="16">
        <v>472</v>
      </c>
      <c r="F91" s="16">
        <v>24</v>
      </c>
      <c r="G91" s="15" t="s">
        <v>82</v>
      </c>
      <c r="H91" s="15" t="s">
        <v>99</v>
      </c>
      <c r="I91" s="15" t="s">
        <v>90</v>
      </c>
      <c r="J91" s="15" t="s">
        <v>84</v>
      </c>
      <c r="K91" s="16">
        <v>24</v>
      </c>
      <c r="L91" s="18">
        <v>0.17499999999999999</v>
      </c>
      <c r="M91" s="19">
        <v>0.44166294143942803</v>
      </c>
      <c r="N91" s="20" t="s">
        <v>80</v>
      </c>
    </row>
    <row r="92" spans="1:14" x14ac:dyDescent="0.3">
      <c r="A92" s="9" t="s">
        <v>177</v>
      </c>
      <c r="B92" s="10">
        <v>40</v>
      </c>
      <c r="C92" s="11">
        <v>28990</v>
      </c>
      <c r="D92" s="11">
        <v>20180</v>
      </c>
      <c r="E92" s="10">
        <v>311</v>
      </c>
      <c r="F92" s="10">
        <v>35</v>
      </c>
      <c r="G92" s="9" t="s">
        <v>82</v>
      </c>
      <c r="H92" s="9" t="s">
        <v>89</v>
      </c>
      <c r="I92" s="9" t="s">
        <v>90</v>
      </c>
      <c r="J92" s="9" t="s">
        <v>84</v>
      </c>
      <c r="K92" s="10">
        <v>48</v>
      </c>
      <c r="L92" s="12">
        <v>0.17499999999999999</v>
      </c>
      <c r="M92" s="13">
        <v>0.69610210417385299</v>
      </c>
      <c r="N92" s="14" t="s">
        <v>80</v>
      </c>
    </row>
    <row r="93" spans="1:14" x14ac:dyDescent="0.3">
      <c r="A93" s="15" t="s">
        <v>178</v>
      </c>
      <c r="B93" s="16">
        <v>57</v>
      </c>
      <c r="C93" s="17">
        <v>50215</v>
      </c>
      <c r="D93" s="17">
        <v>1779</v>
      </c>
      <c r="E93" s="16">
        <v>815</v>
      </c>
      <c r="F93" s="16">
        <v>25</v>
      </c>
      <c r="G93" s="15" t="s">
        <v>76</v>
      </c>
      <c r="H93" s="15" t="s">
        <v>86</v>
      </c>
      <c r="I93" s="15" t="s">
        <v>92</v>
      </c>
      <c r="J93" s="15" t="s">
        <v>79</v>
      </c>
      <c r="K93" s="16">
        <v>84</v>
      </c>
      <c r="L93" s="18">
        <v>7.4999999999999997E-2</v>
      </c>
      <c r="M93" s="19">
        <v>3.5427661057453E-2</v>
      </c>
      <c r="N93" s="20" t="s">
        <v>80</v>
      </c>
    </row>
    <row r="94" spans="1:14" x14ac:dyDescent="0.3">
      <c r="A94" s="9" t="s">
        <v>179</v>
      </c>
      <c r="B94" s="10">
        <v>38</v>
      </c>
      <c r="C94" s="11">
        <v>56265</v>
      </c>
      <c r="D94" s="11">
        <v>19010</v>
      </c>
      <c r="E94" s="10">
        <v>661</v>
      </c>
      <c r="F94" s="10">
        <v>25</v>
      </c>
      <c r="G94" s="9" t="s">
        <v>76</v>
      </c>
      <c r="H94" s="9" t="s">
        <v>86</v>
      </c>
      <c r="I94" s="9" t="s">
        <v>92</v>
      </c>
      <c r="J94" s="9" t="s">
        <v>84</v>
      </c>
      <c r="K94" s="10">
        <v>60</v>
      </c>
      <c r="L94" s="12">
        <v>0.105</v>
      </c>
      <c r="M94" s="13">
        <v>0.33786545810006202</v>
      </c>
      <c r="N94" s="4" t="s">
        <v>87</v>
      </c>
    </row>
    <row r="95" spans="1:14" x14ac:dyDescent="0.3">
      <c r="A95" s="15" t="s">
        <v>180</v>
      </c>
      <c r="B95" s="16">
        <v>33</v>
      </c>
      <c r="C95" s="17">
        <v>62705</v>
      </c>
      <c r="D95" s="17">
        <v>17018</v>
      </c>
      <c r="E95" s="16">
        <v>776</v>
      </c>
      <c r="F95" s="16">
        <v>12</v>
      </c>
      <c r="G95" s="15" t="s">
        <v>82</v>
      </c>
      <c r="H95" s="15" t="s">
        <v>94</v>
      </c>
      <c r="I95" s="15" t="s">
        <v>83</v>
      </c>
      <c r="J95" s="15" t="s">
        <v>95</v>
      </c>
      <c r="K95" s="16">
        <v>120</v>
      </c>
      <c r="L95" s="18">
        <v>7.4999999999999997E-2</v>
      </c>
      <c r="M95" s="19">
        <v>0.271397815166255</v>
      </c>
      <c r="N95" s="7" t="s">
        <v>87</v>
      </c>
    </row>
    <row r="96" spans="1:14" x14ac:dyDescent="0.3">
      <c r="A96" s="9" t="s">
        <v>181</v>
      </c>
      <c r="B96" s="10">
        <v>62</v>
      </c>
      <c r="C96" s="11">
        <v>52622</v>
      </c>
      <c r="D96" s="11">
        <v>23935</v>
      </c>
      <c r="E96" s="10">
        <v>381</v>
      </c>
      <c r="F96" s="10">
        <v>16</v>
      </c>
      <c r="G96" s="9" t="s">
        <v>82</v>
      </c>
      <c r="H96" s="9" t="s">
        <v>77</v>
      </c>
      <c r="I96" s="9" t="s">
        <v>92</v>
      </c>
      <c r="J96" s="9" t="s">
        <v>79</v>
      </c>
      <c r="K96" s="10">
        <v>24</v>
      </c>
      <c r="L96" s="12">
        <v>0.17499999999999999</v>
      </c>
      <c r="M96" s="13">
        <v>0.45484778229637801</v>
      </c>
      <c r="N96" s="14" t="s">
        <v>80</v>
      </c>
    </row>
    <row r="97" spans="1:14" x14ac:dyDescent="0.3">
      <c r="A97" s="15" t="s">
        <v>182</v>
      </c>
      <c r="B97" s="16">
        <v>35</v>
      </c>
      <c r="C97" s="17">
        <v>52470</v>
      </c>
      <c r="D97" s="17">
        <v>11416</v>
      </c>
      <c r="E97" s="16">
        <v>639</v>
      </c>
      <c r="F97" s="16">
        <v>39</v>
      </c>
      <c r="G97" s="15" t="s">
        <v>82</v>
      </c>
      <c r="H97" s="15" t="s">
        <v>77</v>
      </c>
      <c r="I97" s="15" t="s">
        <v>90</v>
      </c>
      <c r="J97" s="15" t="s">
        <v>79</v>
      </c>
      <c r="K97" s="16">
        <v>24</v>
      </c>
      <c r="L97" s="18">
        <v>0.13500000000000001</v>
      </c>
      <c r="M97" s="19">
        <v>0.21757194587383299</v>
      </c>
      <c r="N97" s="20" t="s">
        <v>80</v>
      </c>
    </row>
    <row r="98" spans="1:14" x14ac:dyDescent="0.3">
      <c r="A98" s="9" t="s">
        <v>183</v>
      </c>
      <c r="B98" s="10">
        <v>64</v>
      </c>
      <c r="C98" s="11">
        <v>44159</v>
      </c>
      <c r="D98" s="11">
        <v>16628</v>
      </c>
      <c r="E98" s="10">
        <v>740</v>
      </c>
      <c r="F98" s="10">
        <v>3</v>
      </c>
      <c r="G98" s="9" t="s">
        <v>82</v>
      </c>
      <c r="H98" s="9" t="s">
        <v>99</v>
      </c>
      <c r="I98" s="9" t="s">
        <v>83</v>
      </c>
      <c r="J98" s="9" t="s">
        <v>84</v>
      </c>
      <c r="K98" s="10">
        <v>48</v>
      </c>
      <c r="L98" s="12">
        <v>0.105</v>
      </c>
      <c r="M98" s="13">
        <v>0.37654838198328799</v>
      </c>
      <c r="N98" s="4" t="s">
        <v>87</v>
      </c>
    </row>
    <row r="99" spans="1:14" x14ac:dyDescent="0.3">
      <c r="A99" s="15" t="s">
        <v>184</v>
      </c>
      <c r="B99" s="16">
        <v>41</v>
      </c>
      <c r="C99" s="17">
        <v>73864</v>
      </c>
      <c r="D99" s="17">
        <v>-5728</v>
      </c>
      <c r="E99" s="16">
        <v>525</v>
      </c>
      <c r="F99" s="16">
        <v>22</v>
      </c>
      <c r="G99" s="15" t="s">
        <v>82</v>
      </c>
      <c r="H99" s="15" t="s">
        <v>77</v>
      </c>
      <c r="I99" s="15" t="s">
        <v>92</v>
      </c>
      <c r="J99" s="15" t="s">
        <v>79</v>
      </c>
      <c r="K99" s="16">
        <v>24</v>
      </c>
      <c r="L99" s="18">
        <v>0.17499999999999999</v>
      </c>
      <c r="M99" s="19">
        <v>-7.7547925917903202E-2</v>
      </c>
      <c r="N99" s="20" t="s">
        <v>80</v>
      </c>
    </row>
    <row r="100" spans="1:14" x14ac:dyDescent="0.3">
      <c r="A100" s="9" t="s">
        <v>185</v>
      </c>
      <c r="B100" s="10">
        <v>43</v>
      </c>
      <c r="C100" s="11">
        <v>33455</v>
      </c>
      <c r="D100" s="11">
        <v>24460</v>
      </c>
      <c r="E100" s="10">
        <v>670</v>
      </c>
      <c r="F100" s="10">
        <v>34</v>
      </c>
      <c r="G100" s="9" t="s">
        <v>82</v>
      </c>
      <c r="H100" s="9" t="s">
        <v>77</v>
      </c>
      <c r="I100" s="9" t="s">
        <v>78</v>
      </c>
      <c r="J100" s="9" t="s">
        <v>95</v>
      </c>
      <c r="K100" s="10">
        <v>24</v>
      </c>
      <c r="L100" s="12">
        <v>0.105</v>
      </c>
      <c r="M100" s="13">
        <v>0.73113137049768395</v>
      </c>
      <c r="N100" s="14" t="s">
        <v>80</v>
      </c>
    </row>
    <row r="101" spans="1:14" x14ac:dyDescent="0.3">
      <c r="A101" s="15" t="s">
        <v>186</v>
      </c>
      <c r="B101" s="16">
        <v>42</v>
      </c>
      <c r="C101" s="17">
        <v>55385</v>
      </c>
      <c r="D101" s="17">
        <v>19293</v>
      </c>
      <c r="E101" s="16">
        <v>327</v>
      </c>
      <c r="F101" s="16">
        <v>10</v>
      </c>
      <c r="G101" s="15" t="s">
        <v>82</v>
      </c>
      <c r="H101" s="15" t="s">
        <v>94</v>
      </c>
      <c r="I101" s="15" t="s">
        <v>92</v>
      </c>
      <c r="J101" s="15" t="s">
        <v>79</v>
      </c>
      <c r="K101" s="16">
        <v>84</v>
      </c>
      <c r="L101" s="18">
        <v>0.17499999999999999</v>
      </c>
      <c r="M101" s="19">
        <v>0.34834341428184501</v>
      </c>
      <c r="N101" s="20" t="s">
        <v>80</v>
      </c>
    </row>
    <row r="102" spans="1:14" x14ac:dyDescent="0.3">
      <c r="A102" s="9" t="s">
        <v>187</v>
      </c>
      <c r="B102" s="10">
        <v>62</v>
      </c>
      <c r="C102" s="11">
        <v>35183</v>
      </c>
      <c r="D102" s="11">
        <v>20698</v>
      </c>
      <c r="E102" s="10">
        <v>315</v>
      </c>
      <c r="F102" s="10">
        <v>11</v>
      </c>
      <c r="G102" s="9" t="s">
        <v>76</v>
      </c>
      <c r="H102" s="9" t="s">
        <v>99</v>
      </c>
      <c r="I102" s="9" t="s">
        <v>78</v>
      </c>
      <c r="J102" s="9" t="s">
        <v>84</v>
      </c>
      <c r="K102" s="10">
        <v>48</v>
      </c>
      <c r="L102" s="12">
        <v>0.17499999999999999</v>
      </c>
      <c r="M102" s="13">
        <v>0.588295483614246</v>
      </c>
      <c r="N102" s="14" t="s">
        <v>80</v>
      </c>
    </row>
    <row r="103" spans="1:14" x14ac:dyDescent="0.3">
      <c r="A103" s="15" t="s">
        <v>188</v>
      </c>
      <c r="B103" s="16">
        <v>58</v>
      </c>
      <c r="C103" s="17">
        <v>58022</v>
      </c>
      <c r="D103" s="17">
        <v>8053</v>
      </c>
      <c r="E103" s="16">
        <v>576</v>
      </c>
      <c r="F103" s="16">
        <v>8</v>
      </c>
      <c r="G103" s="15" t="s">
        <v>82</v>
      </c>
      <c r="H103" s="15" t="s">
        <v>77</v>
      </c>
      <c r="I103" s="15" t="s">
        <v>92</v>
      </c>
      <c r="J103" s="15" t="s">
        <v>84</v>
      </c>
      <c r="K103" s="16">
        <v>84</v>
      </c>
      <c r="L103" s="18">
        <v>0.13500000000000001</v>
      </c>
      <c r="M103" s="19">
        <v>0.13879218227568901</v>
      </c>
      <c r="N103" s="20" t="s">
        <v>80</v>
      </c>
    </row>
    <row r="104" spans="1:14" x14ac:dyDescent="0.3">
      <c r="A104" s="9" t="s">
        <v>189</v>
      </c>
      <c r="B104" s="10">
        <v>46</v>
      </c>
      <c r="C104" s="11">
        <v>34445</v>
      </c>
      <c r="D104" s="11">
        <v>23184</v>
      </c>
      <c r="E104" s="10">
        <v>632</v>
      </c>
      <c r="F104" s="10">
        <v>14</v>
      </c>
      <c r="G104" s="9" t="s">
        <v>82</v>
      </c>
      <c r="H104" s="9" t="s">
        <v>86</v>
      </c>
      <c r="I104" s="9" t="s">
        <v>90</v>
      </c>
      <c r="J104" s="9" t="s">
        <v>84</v>
      </c>
      <c r="K104" s="10">
        <v>120</v>
      </c>
      <c r="L104" s="12">
        <v>0.13500000000000001</v>
      </c>
      <c r="M104" s="13">
        <v>0.67307301495137195</v>
      </c>
      <c r="N104" s="14" t="s">
        <v>80</v>
      </c>
    </row>
    <row r="105" spans="1:14" x14ac:dyDescent="0.3">
      <c r="A105" s="15" t="s">
        <v>190</v>
      </c>
      <c r="B105" s="16">
        <v>32</v>
      </c>
      <c r="C105" s="17">
        <v>61157</v>
      </c>
      <c r="D105" s="17">
        <v>33222</v>
      </c>
      <c r="E105" s="16">
        <v>782</v>
      </c>
      <c r="F105" s="16">
        <v>36</v>
      </c>
      <c r="G105" s="15" t="s">
        <v>76</v>
      </c>
      <c r="H105" s="15" t="s">
        <v>99</v>
      </c>
      <c r="I105" s="15" t="s">
        <v>92</v>
      </c>
      <c r="J105" s="15" t="s">
        <v>79</v>
      </c>
      <c r="K105" s="16">
        <v>120</v>
      </c>
      <c r="L105" s="18">
        <v>7.4999999999999997E-2</v>
      </c>
      <c r="M105" s="19">
        <v>0.54322481482087104</v>
      </c>
      <c r="N105" s="20" t="s">
        <v>80</v>
      </c>
    </row>
    <row r="106" spans="1:14" x14ac:dyDescent="0.3">
      <c r="A106" s="9" t="s">
        <v>191</v>
      </c>
      <c r="B106" s="10">
        <v>62</v>
      </c>
      <c r="C106" s="11">
        <v>51682</v>
      </c>
      <c r="D106" s="11">
        <v>18521</v>
      </c>
      <c r="E106" s="10">
        <v>587</v>
      </c>
      <c r="F106" s="10">
        <v>4</v>
      </c>
      <c r="G106" s="9" t="s">
        <v>82</v>
      </c>
      <c r="H106" s="9" t="s">
        <v>89</v>
      </c>
      <c r="I106" s="9" t="s">
        <v>78</v>
      </c>
      <c r="J106" s="9" t="s">
        <v>84</v>
      </c>
      <c r="K106" s="10">
        <v>84</v>
      </c>
      <c r="L106" s="12">
        <v>0.13500000000000001</v>
      </c>
      <c r="M106" s="13">
        <v>0.35836461437250899</v>
      </c>
      <c r="N106" s="14" t="s">
        <v>80</v>
      </c>
    </row>
    <row r="107" spans="1:14" x14ac:dyDescent="0.3">
      <c r="A107" s="15" t="s">
        <v>192</v>
      </c>
      <c r="B107" s="16">
        <v>18</v>
      </c>
      <c r="C107" s="17">
        <v>76170</v>
      </c>
      <c r="D107" s="17">
        <v>25201</v>
      </c>
      <c r="E107" s="16">
        <v>413</v>
      </c>
      <c r="F107" s="16">
        <v>18</v>
      </c>
      <c r="G107" s="15" t="s">
        <v>82</v>
      </c>
      <c r="H107" s="15" t="s">
        <v>99</v>
      </c>
      <c r="I107" s="15" t="s">
        <v>78</v>
      </c>
      <c r="J107" s="15" t="s">
        <v>79</v>
      </c>
      <c r="K107" s="16">
        <v>120</v>
      </c>
      <c r="L107" s="18">
        <v>0.17499999999999999</v>
      </c>
      <c r="M107" s="19">
        <v>0.330852041486149</v>
      </c>
      <c r="N107" s="20" t="s">
        <v>80</v>
      </c>
    </row>
    <row r="108" spans="1:14" x14ac:dyDescent="0.3">
      <c r="A108" s="9" t="s">
        <v>193</v>
      </c>
      <c r="B108" s="10">
        <v>42</v>
      </c>
      <c r="C108" s="11">
        <v>45785</v>
      </c>
      <c r="D108" s="11">
        <v>13035</v>
      </c>
      <c r="E108" s="10">
        <v>337</v>
      </c>
      <c r="F108" s="10">
        <v>10</v>
      </c>
      <c r="G108" s="9" t="s">
        <v>76</v>
      </c>
      <c r="H108" s="9" t="s">
        <v>86</v>
      </c>
      <c r="I108" s="9" t="s">
        <v>92</v>
      </c>
      <c r="J108" s="9" t="s">
        <v>84</v>
      </c>
      <c r="K108" s="10">
        <v>48</v>
      </c>
      <c r="L108" s="12">
        <v>0.17499999999999999</v>
      </c>
      <c r="M108" s="13">
        <v>0.28470022933275102</v>
      </c>
      <c r="N108" s="14" t="s">
        <v>80</v>
      </c>
    </row>
    <row r="109" spans="1:14" x14ac:dyDescent="0.3">
      <c r="A109" s="15" t="s">
        <v>194</v>
      </c>
      <c r="B109" s="16">
        <v>24</v>
      </c>
      <c r="C109" s="17">
        <v>56374</v>
      </c>
      <c r="D109" s="17">
        <v>19385</v>
      </c>
      <c r="E109" s="16">
        <v>753</v>
      </c>
      <c r="F109" s="16">
        <v>8</v>
      </c>
      <c r="G109" s="15" t="s">
        <v>82</v>
      </c>
      <c r="H109" s="15" t="s">
        <v>77</v>
      </c>
      <c r="I109" s="15" t="s">
        <v>83</v>
      </c>
      <c r="J109" s="15" t="s">
        <v>84</v>
      </c>
      <c r="K109" s="16">
        <v>12</v>
      </c>
      <c r="L109" s="18">
        <v>7.4999999999999997E-2</v>
      </c>
      <c r="M109" s="19">
        <v>0.34386419271295299</v>
      </c>
      <c r="N109" s="7" t="s">
        <v>87</v>
      </c>
    </row>
    <row r="110" spans="1:14" x14ac:dyDescent="0.3">
      <c r="A110" s="9" t="s">
        <v>195</v>
      </c>
      <c r="B110" s="10">
        <v>26</v>
      </c>
      <c r="C110" s="11">
        <v>38305</v>
      </c>
      <c r="D110" s="11">
        <v>7749</v>
      </c>
      <c r="E110" s="10">
        <v>465</v>
      </c>
      <c r="F110" s="10">
        <v>34</v>
      </c>
      <c r="G110" s="9" t="s">
        <v>82</v>
      </c>
      <c r="H110" s="9" t="s">
        <v>86</v>
      </c>
      <c r="I110" s="9" t="s">
        <v>78</v>
      </c>
      <c r="J110" s="9" t="s">
        <v>84</v>
      </c>
      <c r="K110" s="10">
        <v>84</v>
      </c>
      <c r="L110" s="12">
        <v>0.17499999999999999</v>
      </c>
      <c r="M110" s="13">
        <v>0.20229735021537701</v>
      </c>
      <c r="N110" s="14" t="s">
        <v>80</v>
      </c>
    </row>
    <row r="111" spans="1:14" x14ac:dyDescent="0.3">
      <c r="A111" s="15" t="s">
        <v>196</v>
      </c>
      <c r="B111" s="16">
        <v>41</v>
      </c>
      <c r="C111" s="17">
        <v>45682</v>
      </c>
      <c r="D111" s="17">
        <v>26305</v>
      </c>
      <c r="E111" s="16">
        <v>504</v>
      </c>
      <c r="F111" s="16">
        <v>26</v>
      </c>
      <c r="G111" s="15" t="s">
        <v>76</v>
      </c>
      <c r="H111" s="15" t="s">
        <v>99</v>
      </c>
      <c r="I111" s="15" t="s">
        <v>90</v>
      </c>
      <c r="J111" s="15" t="s">
        <v>95</v>
      </c>
      <c r="K111" s="16">
        <v>60</v>
      </c>
      <c r="L111" s="18">
        <v>0.17499999999999999</v>
      </c>
      <c r="M111" s="19">
        <v>0.57582855391620302</v>
      </c>
      <c r="N111" s="20" t="s">
        <v>80</v>
      </c>
    </row>
    <row r="112" spans="1:14" x14ac:dyDescent="0.3">
      <c r="A112" s="9" t="s">
        <v>197</v>
      </c>
      <c r="B112" s="10">
        <v>18</v>
      </c>
      <c r="C112" s="11">
        <v>51586</v>
      </c>
      <c r="D112" s="11">
        <v>21279</v>
      </c>
      <c r="E112" s="10">
        <v>544</v>
      </c>
      <c r="F112" s="10">
        <v>12</v>
      </c>
      <c r="G112" s="9" t="s">
        <v>76</v>
      </c>
      <c r="H112" s="9" t="s">
        <v>99</v>
      </c>
      <c r="I112" s="9" t="s">
        <v>92</v>
      </c>
      <c r="J112" s="9" t="s">
        <v>95</v>
      </c>
      <c r="K112" s="10">
        <v>60</v>
      </c>
      <c r="L112" s="12">
        <v>0.17499999999999999</v>
      </c>
      <c r="M112" s="13">
        <v>0.412495638351491</v>
      </c>
      <c r="N112" s="14" t="s">
        <v>80</v>
      </c>
    </row>
    <row r="113" spans="1:14" x14ac:dyDescent="0.3">
      <c r="A113" s="15" t="s">
        <v>198</v>
      </c>
      <c r="B113" s="16">
        <v>61</v>
      </c>
      <c r="C113" s="17">
        <v>27092</v>
      </c>
      <c r="D113" s="17">
        <v>10246</v>
      </c>
      <c r="E113" s="16">
        <v>632</v>
      </c>
      <c r="F113" s="16">
        <v>11</v>
      </c>
      <c r="G113" s="15" t="s">
        <v>82</v>
      </c>
      <c r="H113" s="15" t="s">
        <v>94</v>
      </c>
      <c r="I113" s="15" t="s">
        <v>78</v>
      </c>
      <c r="J113" s="15" t="s">
        <v>84</v>
      </c>
      <c r="K113" s="16">
        <v>24</v>
      </c>
      <c r="L113" s="18">
        <v>0.13500000000000001</v>
      </c>
      <c r="M113" s="19">
        <v>0.378192824450022</v>
      </c>
      <c r="N113" s="20" t="s">
        <v>80</v>
      </c>
    </row>
    <row r="114" spans="1:14" x14ac:dyDescent="0.3">
      <c r="A114" s="9" t="s">
        <v>199</v>
      </c>
      <c r="B114" s="10">
        <v>25</v>
      </c>
      <c r="C114" s="11">
        <v>28736</v>
      </c>
      <c r="D114" s="11">
        <v>13585</v>
      </c>
      <c r="E114" s="10">
        <v>695</v>
      </c>
      <c r="F114" s="10">
        <v>8</v>
      </c>
      <c r="G114" s="9" t="s">
        <v>76</v>
      </c>
      <c r="H114" s="9" t="s">
        <v>89</v>
      </c>
      <c r="I114" s="9" t="s">
        <v>92</v>
      </c>
      <c r="J114" s="9" t="s">
        <v>84</v>
      </c>
      <c r="K114" s="10">
        <v>120</v>
      </c>
      <c r="L114" s="12">
        <v>0.105</v>
      </c>
      <c r="M114" s="13">
        <v>0.472751948775056</v>
      </c>
      <c r="N114" s="14" t="s">
        <v>80</v>
      </c>
    </row>
    <row r="115" spans="1:14" x14ac:dyDescent="0.3">
      <c r="A115" s="15" t="s">
        <v>200</v>
      </c>
      <c r="B115" s="16">
        <v>41</v>
      </c>
      <c r="C115" s="17">
        <v>58998</v>
      </c>
      <c r="D115" s="17">
        <v>20489</v>
      </c>
      <c r="E115" s="16">
        <v>579</v>
      </c>
      <c r="F115" s="16">
        <v>27</v>
      </c>
      <c r="G115" s="15" t="s">
        <v>76</v>
      </c>
      <c r="H115" s="15" t="s">
        <v>94</v>
      </c>
      <c r="I115" s="15" t="s">
        <v>92</v>
      </c>
      <c r="J115" s="15" t="s">
        <v>79</v>
      </c>
      <c r="K115" s="16">
        <v>60</v>
      </c>
      <c r="L115" s="18">
        <v>0.13500000000000001</v>
      </c>
      <c r="M115" s="19">
        <v>0.34728295874436399</v>
      </c>
      <c r="N115" s="20" t="s">
        <v>80</v>
      </c>
    </row>
    <row r="116" spans="1:14" x14ac:dyDescent="0.3">
      <c r="A116" s="9" t="s">
        <v>201</v>
      </c>
      <c r="B116" s="10">
        <v>28</v>
      </c>
      <c r="C116" s="11">
        <v>47809</v>
      </c>
      <c r="D116" s="11">
        <v>27391</v>
      </c>
      <c r="E116" s="10">
        <v>420</v>
      </c>
      <c r="F116" s="10">
        <v>12</v>
      </c>
      <c r="G116" s="9" t="s">
        <v>82</v>
      </c>
      <c r="H116" s="9" t="s">
        <v>94</v>
      </c>
      <c r="I116" s="9" t="s">
        <v>83</v>
      </c>
      <c r="J116" s="9" t="s">
        <v>79</v>
      </c>
      <c r="K116" s="10">
        <v>24</v>
      </c>
      <c r="L116" s="12">
        <v>0.17499999999999999</v>
      </c>
      <c r="M116" s="13">
        <v>0.57292559978246804</v>
      </c>
      <c r="N116" s="14" t="s">
        <v>80</v>
      </c>
    </row>
    <row r="117" spans="1:14" x14ac:dyDescent="0.3">
      <c r="A117" s="15" t="s">
        <v>202</v>
      </c>
      <c r="B117" s="16">
        <v>68</v>
      </c>
      <c r="C117" s="17">
        <v>41106</v>
      </c>
      <c r="D117" s="17">
        <v>31836</v>
      </c>
      <c r="E117" s="16">
        <v>558</v>
      </c>
      <c r="F117" s="16">
        <v>19</v>
      </c>
      <c r="G117" s="15" t="s">
        <v>76</v>
      </c>
      <c r="H117" s="15" t="s">
        <v>99</v>
      </c>
      <c r="I117" s="15" t="s">
        <v>92</v>
      </c>
      <c r="J117" s="15" t="s">
        <v>95</v>
      </c>
      <c r="K117" s="16">
        <v>12</v>
      </c>
      <c r="L117" s="18">
        <v>0.13500000000000001</v>
      </c>
      <c r="M117" s="19">
        <v>0.77448547657276301</v>
      </c>
      <c r="N117" s="20" t="s">
        <v>80</v>
      </c>
    </row>
    <row r="118" spans="1:14" x14ac:dyDescent="0.3">
      <c r="A118" s="9" t="s">
        <v>203</v>
      </c>
      <c r="B118" s="10">
        <v>34</v>
      </c>
      <c r="C118" s="11">
        <v>38945</v>
      </c>
      <c r="D118" s="11">
        <v>18927</v>
      </c>
      <c r="E118" s="10">
        <v>709</v>
      </c>
      <c r="F118" s="10">
        <v>12</v>
      </c>
      <c r="G118" s="9" t="s">
        <v>76</v>
      </c>
      <c r="H118" s="9" t="s">
        <v>86</v>
      </c>
      <c r="I118" s="9" t="s">
        <v>92</v>
      </c>
      <c r="J118" s="9" t="s">
        <v>79</v>
      </c>
      <c r="K118" s="10">
        <v>48</v>
      </c>
      <c r="L118" s="12">
        <v>0.105</v>
      </c>
      <c r="M118" s="13">
        <v>0.48599306714597501</v>
      </c>
      <c r="N118" s="14" t="s">
        <v>80</v>
      </c>
    </row>
    <row r="119" spans="1:14" x14ac:dyDescent="0.3">
      <c r="A119" s="15" t="s">
        <v>204</v>
      </c>
      <c r="B119" s="16">
        <v>25</v>
      </c>
      <c r="C119" s="17">
        <v>39523</v>
      </c>
      <c r="D119" s="17">
        <v>9083</v>
      </c>
      <c r="E119" s="16">
        <v>609</v>
      </c>
      <c r="F119" s="16">
        <v>26</v>
      </c>
      <c r="G119" s="15" t="s">
        <v>82</v>
      </c>
      <c r="H119" s="15" t="s">
        <v>94</v>
      </c>
      <c r="I119" s="15" t="s">
        <v>92</v>
      </c>
      <c r="J119" s="15" t="s">
        <v>79</v>
      </c>
      <c r="K119" s="16">
        <v>48</v>
      </c>
      <c r="L119" s="18">
        <v>0.13500000000000001</v>
      </c>
      <c r="M119" s="19">
        <v>0.22981555043898499</v>
      </c>
      <c r="N119" s="20" t="s">
        <v>80</v>
      </c>
    </row>
    <row r="120" spans="1:14" x14ac:dyDescent="0.3">
      <c r="A120" s="9" t="s">
        <v>205</v>
      </c>
      <c r="B120" s="10">
        <v>52</v>
      </c>
      <c r="C120" s="11">
        <v>51688</v>
      </c>
      <c r="D120" s="11">
        <v>21908</v>
      </c>
      <c r="E120" s="10">
        <v>367</v>
      </c>
      <c r="F120" s="10">
        <v>25</v>
      </c>
      <c r="G120" s="9" t="s">
        <v>82</v>
      </c>
      <c r="H120" s="9" t="s">
        <v>86</v>
      </c>
      <c r="I120" s="9" t="s">
        <v>90</v>
      </c>
      <c r="J120" s="9" t="s">
        <v>79</v>
      </c>
      <c r="K120" s="10">
        <v>48</v>
      </c>
      <c r="L120" s="12">
        <v>0.17499999999999999</v>
      </c>
      <c r="M120" s="13">
        <v>0.42385079709023399</v>
      </c>
      <c r="N120" s="14" t="s">
        <v>80</v>
      </c>
    </row>
    <row r="121" spans="1:14" x14ac:dyDescent="0.3">
      <c r="A121" s="15" t="s">
        <v>206</v>
      </c>
      <c r="B121" s="16">
        <v>52</v>
      </c>
      <c r="C121" s="17">
        <v>56676</v>
      </c>
      <c r="D121" s="17">
        <v>34279</v>
      </c>
      <c r="E121" s="16">
        <v>413</v>
      </c>
      <c r="F121" s="16">
        <v>28</v>
      </c>
      <c r="G121" s="15" t="s">
        <v>76</v>
      </c>
      <c r="H121" s="15" t="s">
        <v>94</v>
      </c>
      <c r="I121" s="15" t="s">
        <v>92</v>
      </c>
      <c r="J121" s="15" t="s">
        <v>79</v>
      </c>
      <c r="K121" s="16">
        <v>60</v>
      </c>
      <c r="L121" s="18">
        <v>0.17499999999999999</v>
      </c>
      <c r="M121" s="19">
        <v>0.60482391135577696</v>
      </c>
      <c r="N121" s="20" t="s">
        <v>80</v>
      </c>
    </row>
    <row r="122" spans="1:14" x14ac:dyDescent="0.3">
      <c r="A122" s="9" t="s">
        <v>207</v>
      </c>
      <c r="B122" s="10">
        <v>50</v>
      </c>
      <c r="C122" s="11">
        <v>18618</v>
      </c>
      <c r="D122" s="11">
        <v>7018</v>
      </c>
      <c r="E122" s="10">
        <v>519</v>
      </c>
      <c r="F122" s="10">
        <v>28</v>
      </c>
      <c r="G122" s="9" t="s">
        <v>76</v>
      </c>
      <c r="H122" s="9" t="s">
        <v>77</v>
      </c>
      <c r="I122" s="9" t="s">
        <v>90</v>
      </c>
      <c r="J122" s="9" t="s">
        <v>95</v>
      </c>
      <c r="K122" s="10">
        <v>12</v>
      </c>
      <c r="L122" s="12">
        <v>0.17499999999999999</v>
      </c>
      <c r="M122" s="13">
        <v>0.37694704049844202</v>
      </c>
      <c r="N122" s="14" t="s">
        <v>80</v>
      </c>
    </row>
    <row r="123" spans="1:14" x14ac:dyDescent="0.3">
      <c r="A123" s="15" t="s">
        <v>208</v>
      </c>
      <c r="B123" s="16">
        <v>22</v>
      </c>
      <c r="C123" s="17">
        <v>71193</v>
      </c>
      <c r="D123" s="17">
        <v>12363</v>
      </c>
      <c r="E123" s="16">
        <v>519</v>
      </c>
      <c r="F123" s="16">
        <v>21</v>
      </c>
      <c r="G123" s="15" t="s">
        <v>82</v>
      </c>
      <c r="H123" s="15" t="s">
        <v>94</v>
      </c>
      <c r="I123" s="15" t="s">
        <v>92</v>
      </c>
      <c r="J123" s="15" t="s">
        <v>95</v>
      </c>
      <c r="K123" s="16">
        <v>60</v>
      </c>
      <c r="L123" s="18">
        <v>0.17499999999999999</v>
      </c>
      <c r="M123" s="19">
        <v>0.17365471324428</v>
      </c>
      <c r="N123" s="20" t="s">
        <v>80</v>
      </c>
    </row>
    <row r="124" spans="1:14" x14ac:dyDescent="0.3">
      <c r="A124" s="9" t="s">
        <v>209</v>
      </c>
      <c r="B124" s="10">
        <v>59</v>
      </c>
      <c r="C124" s="11">
        <v>70126</v>
      </c>
      <c r="D124" s="11">
        <v>24888</v>
      </c>
      <c r="E124" s="10">
        <v>772</v>
      </c>
      <c r="F124" s="10">
        <v>8</v>
      </c>
      <c r="G124" s="9" t="s">
        <v>82</v>
      </c>
      <c r="H124" s="9" t="s">
        <v>89</v>
      </c>
      <c r="I124" s="9" t="s">
        <v>83</v>
      </c>
      <c r="J124" s="9" t="s">
        <v>79</v>
      </c>
      <c r="K124" s="10">
        <v>120</v>
      </c>
      <c r="L124" s="12">
        <v>7.4999999999999997E-2</v>
      </c>
      <c r="M124" s="13">
        <v>0.354904029889057</v>
      </c>
      <c r="N124" s="14" t="s">
        <v>80</v>
      </c>
    </row>
    <row r="125" spans="1:14" x14ac:dyDescent="0.3">
      <c r="A125" s="15" t="s">
        <v>210</v>
      </c>
      <c r="B125" s="16">
        <v>56</v>
      </c>
      <c r="C125" s="17">
        <v>15040</v>
      </c>
      <c r="D125" s="17">
        <v>21229</v>
      </c>
      <c r="E125" s="16">
        <v>685</v>
      </c>
      <c r="F125" s="16">
        <v>23</v>
      </c>
      <c r="G125" s="15" t="s">
        <v>76</v>
      </c>
      <c r="H125" s="15" t="s">
        <v>94</v>
      </c>
      <c r="I125" s="15" t="s">
        <v>83</v>
      </c>
      <c r="J125" s="15" t="s">
        <v>79</v>
      </c>
      <c r="K125" s="16">
        <v>60</v>
      </c>
      <c r="L125" s="18">
        <v>0.105</v>
      </c>
      <c r="M125" s="19">
        <v>1.41150265957447</v>
      </c>
      <c r="N125" s="20" t="s">
        <v>80</v>
      </c>
    </row>
    <row r="126" spans="1:14" x14ac:dyDescent="0.3">
      <c r="A126" s="9" t="s">
        <v>211</v>
      </c>
      <c r="B126" s="10">
        <v>58</v>
      </c>
      <c r="C126" s="11">
        <v>66289</v>
      </c>
      <c r="D126" s="11">
        <v>15640</v>
      </c>
      <c r="E126" s="10">
        <v>597</v>
      </c>
      <c r="F126" s="10">
        <v>18</v>
      </c>
      <c r="G126" s="9" t="s">
        <v>82</v>
      </c>
      <c r="H126" s="9" t="s">
        <v>77</v>
      </c>
      <c r="I126" s="9" t="s">
        <v>78</v>
      </c>
      <c r="J126" s="9" t="s">
        <v>95</v>
      </c>
      <c r="K126" s="10">
        <v>12</v>
      </c>
      <c r="L126" s="12">
        <v>0.13500000000000001</v>
      </c>
      <c r="M126" s="13">
        <v>0.235936580729835</v>
      </c>
      <c r="N126" s="14" t="s">
        <v>80</v>
      </c>
    </row>
    <row r="127" spans="1:14" x14ac:dyDescent="0.3">
      <c r="A127" s="15" t="s">
        <v>212</v>
      </c>
      <c r="B127" s="16">
        <v>45</v>
      </c>
      <c r="C127" s="17">
        <v>65828</v>
      </c>
      <c r="D127" s="17">
        <v>21761</v>
      </c>
      <c r="E127" s="16">
        <v>552</v>
      </c>
      <c r="F127" s="16">
        <v>37</v>
      </c>
      <c r="G127" s="15" t="s">
        <v>82</v>
      </c>
      <c r="H127" s="15" t="s">
        <v>86</v>
      </c>
      <c r="I127" s="15" t="s">
        <v>92</v>
      </c>
      <c r="J127" s="15" t="s">
        <v>84</v>
      </c>
      <c r="K127" s="16">
        <v>12</v>
      </c>
      <c r="L127" s="18">
        <v>0.13500000000000001</v>
      </c>
      <c r="M127" s="19">
        <v>0.33057361609041802</v>
      </c>
      <c r="N127" s="20" t="s">
        <v>80</v>
      </c>
    </row>
    <row r="128" spans="1:14" x14ac:dyDescent="0.3">
      <c r="A128" s="9" t="s">
        <v>213</v>
      </c>
      <c r="B128" s="10">
        <v>24</v>
      </c>
      <c r="C128" s="11">
        <v>50007</v>
      </c>
      <c r="D128" s="11">
        <v>27820</v>
      </c>
      <c r="E128" s="10">
        <v>704</v>
      </c>
      <c r="F128" s="10">
        <v>30</v>
      </c>
      <c r="G128" s="9" t="s">
        <v>76</v>
      </c>
      <c r="H128" s="9" t="s">
        <v>86</v>
      </c>
      <c r="I128" s="9" t="s">
        <v>83</v>
      </c>
      <c r="J128" s="9" t="s">
        <v>79</v>
      </c>
      <c r="K128" s="10">
        <v>120</v>
      </c>
      <c r="L128" s="12">
        <v>0.105</v>
      </c>
      <c r="M128" s="13">
        <v>0.55632211490391403</v>
      </c>
      <c r="N128" s="14" t="s">
        <v>80</v>
      </c>
    </row>
    <row r="129" spans="1:14" x14ac:dyDescent="0.3">
      <c r="A129" s="15" t="s">
        <v>214</v>
      </c>
      <c r="B129" s="16">
        <v>26</v>
      </c>
      <c r="C129" s="17">
        <v>30542</v>
      </c>
      <c r="D129" s="17">
        <v>19213</v>
      </c>
      <c r="E129" s="16">
        <v>791</v>
      </c>
      <c r="F129" s="16">
        <v>38</v>
      </c>
      <c r="G129" s="15" t="s">
        <v>76</v>
      </c>
      <c r="H129" s="15" t="s">
        <v>86</v>
      </c>
      <c r="I129" s="15" t="s">
        <v>83</v>
      </c>
      <c r="J129" s="15" t="s">
        <v>84</v>
      </c>
      <c r="K129" s="16">
        <v>12</v>
      </c>
      <c r="L129" s="18">
        <v>7.4999999999999997E-2</v>
      </c>
      <c r="M129" s="19">
        <v>0.62906816842380997</v>
      </c>
      <c r="N129" s="20" t="s">
        <v>80</v>
      </c>
    </row>
    <row r="130" spans="1:14" x14ac:dyDescent="0.3">
      <c r="A130" s="9" t="s">
        <v>215</v>
      </c>
      <c r="B130" s="10">
        <v>25</v>
      </c>
      <c r="C130" s="11">
        <v>65228</v>
      </c>
      <c r="D130" s="11">
        <v>18512</v>
      </c>
      <c r="E130" s="10">
        <v>656</v>
      </c>
      <c r="F130" s="10">
        <v>14</v>
      </c>
      <c r="G130" s="9" t="s">
        <v>82</v>
      </c>
      <c r="H130" s="9" t="s">
        <v>99</v>
      </c>
      <c r="I130" s="9" t="s">
        <v>92</v>
      </c>
      <c r="J130" s="9" t="s">
        <v>79</v>
      </c>
      <c r="K130" s="10">
        <v>12</v>
      </c>
      <c r="L130" s="12">
        <v>0.105</v>
      </c>
      <c r="M130" s="13">
        <v>0.28380450113448202</v>
      </c>
      <c r="N130" s="14" t="s">
        <v>80</v>
      </c>
    </row>
    <row r="131" spans="1:14" x14ac:dyDescent="0.3">
      <c r="A131" s="15" t="s">
        <v>216</v>
      </c>
      <c r="B131" s="16">
        <v>29</v>
      </c>
      <c r="C131" s="17">
        <v>46382</v>
      </c>
      <c r="D131" s="17">
        <v>24712</v>
      </c>
      <c r="E131" s="16">
        <v>727</v>
      </c>
      <c r="F131" s="16">
        <v>31</v>
      </c>
      <c r="G131" s="15" t="s">
        <v>82</v>
      </c>
      <c r="H131" s="15" t="s">
        <v>86</v>
      </c>
      <c r="I131" s="15" t="s">
        <v>78</v>
      </c>
      <c r="J131" s="15" t="s">
        <v>95</v>
      </c>
      <c r="K131" s="16">
        <v>48</v>
      </c>
      <c r="L131" s="18">
        <v>0.105</v>
      </c>
      <c r="M131" s="19">
        <v>0.53279289379500705</v>
      </c>
      <c r="N131" s="7" t="s">
        <v>87</v>
      </c>
    </row>
    <row r="132" spans="1:14" x14ac:dyDescent="0.3">
      <c r="A132" s="9" t="s">
        <v>217</v>
      </c>
      <c r="B132" s="10">
        <v>51</v>
      </c>
      <c r="C132" s="11">
        <v>58233</v>
      </c>
      <c r="D132" s="11">
        <v>17836</v>
      </c>
      <c r="E132" s="10">
        <v>514</v>
      </c>
      <c r="F132" s="10">
        <v>28</v>
      </c>
      <c r="G132" s="9" t="s">
        <v>76</v>
      </c>
      <c r="H132" s="9" t="s">
        <v>99</v>
      </c>
      <c r="I132" s="9" t="s">
        <v>90</v>
      </c>
      <c r="J132" s="9" t="s">
        <v>79</v>
      </c>
      <c r="K132" s="10">
        <v>120</v>
      </c>
      <c r="L132" s="12">
        <v>0.17499999999999999</v>
      </c>
      <c r="M132" s="13">
        <v>0.306286813318909</v>
      </c>
      <c r="N132" s="14" t="s">
        <v>80</v>
      </c>
    </row>
    <row r="133" spans="1:14" x14ac:dyDescent="0.3">
      <c r="A133" s="15" t="s">
        <v>218</v>
      </c>
      <c r="B133" s="16">
        <v>50</v>
      </c>
      <c r="C133" s="17">
        <v>83288</v>
      </c>
      <c r="D133" s="17">
        <v>29140</v>
      </c>
      <c r="E133" s="16">
        <v>679</v>
      </c>
      <c r="F133" s="16">
        <v>33</v>
      </c>
      <c r="G133" s="15" t="s">
        <v>82</v>
      </c>
      <c r="H133" s="15" t="s">
        <v>77</v>
      </c>
      <c r="I133" s="15" t="s">
        <v>83</v>
      </c>
      <c r="J133" s="15" t="s">
        <v>84</v>
      </c>
      <c r="K133" s="16">
        <v>36</v>
      </c>
      <c r="L133" s="18">
        <v>0.105</v>
      </c>
      <c r="M133" s="19">
        <v>0.34987032945922603</v>
      </c>
      <c r="N133" s="7" t="s">
        <v>87</v>
      </c>
    </row>
    <row r="134" spans="1:14" x14ac:dyDescent="0.3">
      <c r="A134" s="9" t="s">
        <v>219</v>
      </c>
      <c r="B134" s="10">
        <v>65</v>
      </c>
      <c r="C134" s="11">
        <v>53778</v>
      </c>
      <c r="D134" s="11">
        <v>36214</v>
      </c>
      <c r="E134" s="10">
        <v>513</v>
      </c>
      <c r="F134" s="10">
        <v>8</v>
      </c>
      <c r="G134" s="9" t="s">
        <v>76</v>
      </c>
      <c r="H134" s="9" t="s">
        <v>86</v>
      </c>
      <c r="I134" s="9" t="s">
        <v>83</v>
      </c>
      <c r="J134" s="9" t="s">
        <v>95</v>
      </c>
      <c r="K134" s="10">
        <v>36</v>
      </c>
      <c r="L134" s="12">
        <v>0.17499999999999999</v>
      </c>
      <c r="M134" s="13">
        <v>0.673398043809736</v>
      </c>
      <c r="N134" s="14" t="s">
        <v>80</v>
      </c>
    </row>
    <row r="135" spans="1:14" x14ac:dyDescent="0.3">
      <c r="A135" s="15" t="s">
        <v>220</v>
      </c>
      <c r="B135" s="16">
        <v>40</v>
      </c>
      <c r="C135" s="17">
        <v>49488</v>
      </c>
      <c r="D135" s="17">
        <v>12856</v>
      </c>
      <c r="E135" s="16">
        <v>397</v>
      </c>
      <c r="F135" s="16">
        <v>34</v>
      </c>
      <c r="G135" s="15" t="s">
        <v>82</v>
      </c>
      <c r="H135" s="15" t="s">
        <v>86</v>
      </c>
      <c r="I135" s="15" t="s">
        <v>90</v>
      </c>
      <c r="J135" s="15" t="s">
        <v>79</v>
      </c>
      <c r="K135" s="16">
        <v>12</v>
      </c>
      <c r="L135" s="18">
        <v>0.17499999999999999</v>
      </c>
      <c r="M135" s="19">
        <v>0.25978014872292299</v>
      </c>
      <c r="N135" s="20" t="s">
        <v>80</v>
      </c>
    </row>
    <row r="136" spans="1:14" x14ac:dyDescent="0.3">
      <c r="A136" s="9" t="s">
        <v>221</v>
      </c>
      <c r="B136" s="10">
        <v>41</v>
      </c>
      <c r="C136" s="11">
        <v>44964</v>
      </c>
      <c r="D136" s="11">
        <v>10000</v>
      </c>
      <c r="E136" s="10">
        <v>827</v>
      </c>
      <c r="F136" s="10">
        <v>5</v>
      </c>
      <c r="G136" s="9" t="s">
        <v>82</v>
      </c>
      <c r="H136" s="9" t="s">
        <v>86</v>
      </c>
      <c r="I136" s="9" t="s">
        <v>83</v>
      </c>
      <c r="J136" s="9" t="s">
        <v>79</v>
      </c>
      <c r="K136" s="10">
        <v>36</v>
      </c>
      <c r="L136" s="12">
        <v>7.4999999999999997E-2</v>
      </c>
      <c r="M136" s="13">
        <v>0.22240014233609101</v>
      </c>
      <c r="N136" s="14" t="s">
        <v>80</v>
      </c>
    </row>
    <row r="137" spans="1:14" x14ac:dyDescent="0.3">
      <c r="A137" s="15" t="s">
        <v>222</v>
      </c>
      <c r="B137" s="16">
        <v>54</v>
      </c>
      <c r="C137" s="17">
        <v>38158</v>
      </c>
      <c r="D137" s="17">
        <v>22974</v>
      </c>
      <c r="E137" s="16">
        <v>827</v>
      </c>
      <c r="F137" s="16">
        <v>36</v>
      </c>
      <c r="G137" s="15" t="s">
        <v>82</v>
      </c>
      <c r="H137" s="15" t="s">
        <v>77</v>
      </c>
      <c r="I137" s="15" t="s">
        <v>90</v>
      </c>
      <c r="J137" s="15" t="s">
        <v>95</v>
      </c>
      <c r="K137" s="16">
        <v>36</v>
      </c>
      <c r="L137" s="18">
        <v>7.4999999999999997E-2</v>
      </c>
      <c r="M137" s="19">
        <v>0.60207558048115695</v>
      </c>
      <c r="N137" s="20" t="s">
        <v>80</v>
      </c>
    </row>
    <row r="138" spans="1:14" x14ac:dyDescent="0.3">
      <c r="A138" s="9" t="s">
        <v>223</v>
      </c>
      <c r="B138" s="10">
        <v>52</v>
      </c>
      <c r="C138" s="11">
        <v>56502</v>
      </c>
      <c r="D138" s="11">
        <v>9716</v>
      </c>
      <c r="E138" s="10">
        <v>834</v>
      </c>
      <c r="F138" s="10">
        <v>13</v>
      </c>
      <c r="G138" s="9" t="s">
        <v>76</v>
      </c>
      <c r="H138" s="9" t="s">
        <v>99</v>
      </c>
      <c r="I138" s="9" t="s">
        <v>90</v>
      </c>
      <c r="J138" s="9" t="s">
        <v>79</v>
      </c>
      <c r="K138" s="10">
        <v>12</v>
      </c>
      <c r="L138" s="12">
        <v>7.4999999999999997E-2</v>
      </c>
      <c r="M138" s="13">
        <v>0.17195851474284099</v>
      </c>
      <c r="N138" s="14" t="s">
        <v>80</v>
      </c>
    </row>
    <row r="139" spans="1:14" x14ac:dyDescent="0.3">
      <c r="A139" s="15" t="s">
        <v>224</v>
      </c>
      <c r="B139" s="16">
        <v>61</v>
      </c>
      <c r="C139" s="17">
        <v>37909</v>
      </c>
      <c r="D139" s="17">
        <v>9579</v>
      </c>
      <c r="E139" s="16">
        <v>848</v>
      </c>
      <c r="F139" s="16">
        <v>8</v>
      </c>
      <c r="G139" s="15" t="s">
        <v>76</v>
      </c>
      <c r="H139" s="15" t="s">
        <v>94</v>
      </c>
      <c r="I139" s="15" t="s">
        <v>78</v>
      </c>
      <c r="J139" s="15" t="s">
        <v>95</v>
      </c>
      <c r="K139" s="16">
        <v>36</v>
      </c>
      <c r="L139" s="18">
        <v>7.4999999999999997E-2</v>
      </c>
      <c r="M139" s="19">
        <v>0.25268405919438702</v>
      </c>
      <c r="N139" s="20" t="s">
        <v>80</v>
      </c>
    </row>
    <row r="140" spans="1:14" x14ac:dyDescent="0.3">
      <c r="A140" s="9" t="s">
        <v>225</v>
      </c>
      <c r="B140" s="10">
        <v>57</v>
      </c>
      <c r="C140" s="11">
        <v>49488</v>
      </c>
      <c r="D140" s="11">
        <v>3606</v>
      </c>
      <c r="E140" s="10">
        <v>627</v>
      </c>
      <c r="F140" s="10">
        <v>18</v>
      </c>
      <c r="G140" s="9" t="s">
        <v>82</v>
      </c>
      <c r="H140" s="9" t="s">
        <v>77</v>
      </c>
      <c r="I140" s="9" t="s">
        <v>90</v>
      </c>
      <c r="J140" s="9" t="s">
        <v>79</v>
      </c>
      <c r="K140" s="10">
        <v>60</v>
      </c>
      <c r="L140" s="12">
        <v>0.13500000000000001</v>
      </c>
      <c r="M140" s="13">
        <v>7.2866149369544095E-2</v>
      </c>
      <c r="N140" s="14" t="s">
        <v>80</v>
      </c>
    </row>
    <row r="141" spans="1:14" x14ac:dyDescent="0.3">
      <c r="A141" s="15" t="s">
        <v>226</v>
      </c>
      <c r="B141" s="16">
        <v>39</v>
      </c>
      <c r="C141" s="17">
        <v>30734</v>
      </c>
      <c r="D141" s="17">
        <v>16942</v>
      </c>
      <c r="E141" s="16">
        <v>464</v>
      </c>
      <c r="F141" s="16">
        <v>22</v>
      </c>
      <c r="G141" s="15" t="s">
        <v>82</v>
      </c>
      <c r="H141" s="15" t="s">
        <v>77</v>
      </c>
      <c r="I141" s="15" t="s">
        <v>90</v>
      </c>
      <c r="J141" s="15" t="s">
        <v>95</v>
      </c>
      <c r="K141" s="16">
        <v>24</v>
      </c>
      <c r="L141" s="18">
        <v>0.17499999999999999</v>
      </c>
      <c r="M141" s="19">
        <v>0.55124617687251898</v>
      </c>
      <c r="N141" s="20" t="s">
        <v>80</v>
      </c>
    </row>
    <row r="142" spans="1:14" x14ac:dyDescent="0.3">
      <c r="A142" s="9" t="s">
        <v>227</v>
      </c>
      <c r="B142" s="10">
        <v>44</v>
      </c>
      <c r="C142" s="11">
        <v>48019</v>
      </c>
      <c r="D142" s="11">
        <v>19736</v>
      </c>
      <c r="E142" s="10">
        <v>415</v>
      </c>
      <c r="F142" s="10">
        <v>27</v>
      </c>
      <c r="G142" s="9" t="s">
        <v>76</v>
      </c>
      <c r="H142" s="9" t="s">
        <v>77</v>
      </c>
      <c r="I142" s="9" t="s">
        <v>90</v>
      </c>
      <c r="J142" s="9" t="s">
        <v>79</v>
      </c>
      <c r="K142" s="10">
        <v>120</v>
      </c>
      <c r="L142" s="12">
        <v>0.17499999999999999</v>
      </c>
      <c r="M142" s="13">
        <v>0.41100397759220297</v>
      </c>
      <c r="N142" s="14" t="s">
        <v>80</v>
      </c>
    </row>
    <row r="143" spans="1:14" x14ac:dyDescent="0.3">
      <c r="A143" s="15" t="s">
        <v>228</v>
      </c>
      <c r="B143" s="16">
        <v>52</v>
      </c>
      <c r="C143" s="17">
        <v>52651</v>
      </c>
      <c r="D143" s="17">
        <v>15861</v>
      </c>
      <c r="E143" s="16">
        <v>449</v>
      </c>
      <c r="F143" s="16">
        <v>15</v>
      </c>
      <c r="G143" s="15" t="s">
        <v>76</v>
      </c>
      <c r="H143" s="15" t="s">
        <v>99</v>
      </c>
      <c r="I143" s="15" t="s">
        <v>90</v>
      </c>
      <c r="J143" s="15" t="s">
        <v>95</v>
      </c>
      <c r="K143" s="16">
        <v>24</v>
      </c>
      <c r="L143" s="18">
        <v>0.17499999999999999</v>
      </c>
      <c r="M143" s="19">
        <v>0.30124783954720702</v>
      </c>
      <c r="N143" s="20" t="s">
        <v>80</v>
      </c>
    </row>
    <row r="144" spans="1:14" x14ac:dyDescent="0.3">
      <c r="A144" s="9" t="s">
        <v>229</v>
      </c>
      <c r="B144" s="10">
        <v>18</v>
      </c>
      <c r="C144" s="11">
        <v>9728</v>
      </c>
      <c r="D144" s="11">
        <v>31123</v>
      </c>
      <c r="E144" s="10">
        <v>817</v>
      </c>
      <c r="F144" s="10">
        <v>25</v>
      </c>
      <c r="G144" s="9" t="s">
        <v>82</v>
      </c>
      <c r="H144" s="9" t="s">
        <v>99</v>
      </c>
      <c r="I144" s="9" t="s">
        <v>83</v>
      </c>
      <c r="J144" s="9" t="s">
        <v>95</v>
      </c>
      <c r="K144" s="10">
        <v>12</v>
      </c>
      <c r="L144" s="12">
        <v>7.4999999999999997E-2</v>
      </c>
      <c r="M144" s="13">
        <v>3.1993215460526301</v>
      </c>
      <c r="N144" s="14" t="s">
        <v>80</v>
      </c>
    </row>
    <row r="145" spans="1:14" x14ac:dyDescent="0.3">
      <c r="A145" s="15" t="s">
        <v>230</v>
      </c>
      <c r="B145" s="16">
        <v>52</v>
      </c>
      <c r="C145" s="17">
        <v>53894</v>
      </c>
      <c r="D145" s="17">
        <v>30527</v>
      </c>
      <c r="E145" s="16">
        <v>331</v>
      </c>
      <c r="F145" s="16">
        <v>37</v>
      </c>
      <c r="G145" s="15" t="s">
        <v>76</v>
      </c>
      <c r="H145" s="15" t="s">
        <v>99</v>
      </c>
      <c r="I145" s="15" t="s">
        <v>90</v>
      </c>
      <c r="J145" s="15" t="s">
        <v>79</v>
      </c>
      <c r="K145" s="16">
        <v>48</v>
      </c>
      <c r="L145" s="18">
        <v>0.17499999999999999</v>
      </c>
      <c r="M145" s="19">
        <v>0.56642668942739505</v>
      </c>
      <c r="N145" s="20" t="s">
        <v>80</v>
      </c>
    </row>
    <row r="146" spans="1:14" x14ac:dyDescent="0.3">
      <c r="A146" s="9" t="s">
        <v>231</v>
      </c>
      <c r="B146" s="10">
        <v>54</v>
      </c>
      <c r="C146" s="11">
        <v>49314</v>
      </c>
      <c r="D146" s="11">
        <v>35431</v>
      </c>
      <c r="E146" s="10">
        <v>592</v>
      </c>
      <c r="F146" s="10">
        <v>39</v>
      </c>
      <c r="G146" s="9" t="s">
        <v>76</v>
      </c>
      <c r="H146" s="9" t="s">
        <v>99</v>
      </c>
      <c r="I146" s="9" t="s">
        <v>83</v>
      </c>
      <c r="J146" s="9" t="s">
        <v>95</v>
      </c>
      <c r="K146" s="10">
        <v>120</v>
      </c>
      <c r="L146" s="12">
        <v>0.13500000000000001</v>
      </c>
      <c r="M146" s="13">
        <v>0.71847751145719296</v>
      </c>
      <c r="N146" s="14" t="s">
        <v>80</v>
      </c>
    </row>
    <row r="147" spans="1:14" x14ac:dyDescent="0.3">
      <c r="A147" s="15" t="s">
        <v>232</v>
      </c>
      <c r="B147" s="16">
        <v>64</v>
      </c>
      <c r="C147" s="17">
        <v>38525</v>
      </c>
      <c r="D147" s="17">
        <v>20372</v>
      </c>
      <c r="E147" s="16">
        <v>476</v>
      </c>
      <c r="F147" s="16">
        <v>24</v>
      </c>
      <c r="G147" s="15" t="s">
        <v>82</v>
      </c>
      <c r="H147" s="15" t="s">
        <v>99</v>
      </c>
      <c r="I147" s="15" t="s">
        <v>92</v>
      </c>
      <c r="J147" s="15" t="s">
        <v>79</v>
      </c>
      <c r="K147" s="16">
        <v>12</v>
      </c>
      <c r="L147" s="18">
        <v>0.17499999999999999</v>
      </c>
      <c r="M147" s="19">
        <v>0.52879948085658701</v>
      </c>
      <c r="N147" s="20" t="s">
        <v>80</v>
      </c>
    </row>
    <row r="148" spans="1:14" x14ac:dyDescent="0.3">
      <c r="A148" s="9" t="s">
        <v>233</v>
      </c>
      <c r="B148" s="10">
        <v>31</v>
      </c>
      <c r="C148" s="11">
        <v>80429</v>
      </c>
      <c r="D148" s="11">
        <v>29471</v>
      </c>
      <c r="E148" s="10">
        <v>360</v>
      </c>
      <c r="F148" s="10">
        <v>34</v>
      </c>
      <c r="G148" s="9" t="s">
        <v>82</v>
      </c>
      <c r="H148" s="9" t="s">
        <v>86</v>
      </c>
      <c r="I148" s="9" t="s">
        <v>92</v>
      </c>
      <c r="J148" s="9" t="s">
        <v>79</v>
      </c>
      <c r="K148" s="10">
        <v>48</v>
      </c>
      <c r="L148" s="12">
        <v>0.17499999999999999</v>
      </c>
      <c r="M148" s="13">
        <v>0.36642255902721699</v>
      </c>
      <c r="N148" s="14" t="s">
        <v>80</v>
      </c>
    </row>
    <row r="149" spans="1:14" x14ac:dyDescent="0.3">
      <c r="A149" s="15" t="s">
        <v>234</v>
      </c>
      <c r="B149" s="16">
        <v>20</v>
      </c>
      <c r="C149" s="17">
        <v>64377</v>
      </c>
      <c r="D149" s="17">
        <v>22471</v>
      </c>
      <c r="E149" s="16">
        <v>715</v>
      </c>
      <c r="F149" s="16">
        <v>4</v>
      </c>
      <c r="G149" s="15" t="s">
        <v>76</v>
      </c>
      <c r="H149" s="15" t="s">
        <v>94</v>
      </c>
      <c r="I149" s="15" t="s">
        <v>90</v>
      </c>
      <c r="J149" s="15" t="s">
        <v>79</v>
      </c>
      <c r="K149" s="16">
        <v>24</v>
      </c>
      <c r="L149" s="18">
        <v>0.105</v>
      </c>
      <c r="M149" s="19">
        <v>0.34905323329760601</v>
      </c>
      <c r="N149" s="20" t="s">
        <v>80</v>
      </c>
    </row>
    <row r="150" spans="1:14" x14ac:dyDescent="0.3">
      <c r="A150" s="9" t="s">
        <v>235</v>
      </c>
      <c r="B150" s="10">
        <v>18</v>
      </c>
      <c r="C150" s="11">
        <v>33554</v>
      </c>
      <c r="D150" s="11">
        <v>21667</v>
      </c>
      <c r="E150" s="10">
        <v>579</v>
      </c>
      <c r="F150" s="10">
        <v>6</v>
      </c>
      <c r="G150" s="9" t="s">
        <v>76</v>
      </c>
      <c r="H150" s="9" t="s">
        <v>94</v>
      </c>
      <c r="I150" s="9" t="s">
        <v>78</v>
      </c>
      <c r="J150" s="9" t="s">
        <v>95</v>
      </c>
      <c r="K150" s="10">
        <v>12</v>
      </c>
      <c r="L150" s="12">
        <v>0.13500000000000001</v>
      </c>
      <c r="M150" s="13">
        <v>0.64573523275913502</v>
      </c>
      <c r="N150" s="14" t="s">
        <v>80</v>
      </c>
    </row>
    <row r="151" spans="1:14" x14ac:dyDescent="0.3">
      <c r="A151" s="15" t="s">
        <v>236</v>
      </c>
      <c r="B151" s="16">
        <v>22</v>
      </c>
      <c r="C151" s="17">
        <v>62574</v>
      </c>
      <c r="D151" s="17">
        <v>16261</v>
      </c>
      <c r="E151" s="16">
        <v>306</v>
      </c>
      <c r="F151" s="16">
        <v>22</v>
      </c>
      <c r="G151" s="15" t="s">
        <v>82</v>
      </c>
      <c r="H151" s="15" t="s">
        <v>99</v>
      </c>
      <c r="I151" s="15" t="s">
        <v>78</v>
      </c>
      <c r="J151" s="15" t="s">
        <v>79</v>
      </c>
      <c r="K151" s="16">
        <v>120</v>
      </c>
      <c r="L151" s="18">
        <v>0.17499999999999999</v>
      </c>
      <c r="M151" s="19">
        <v>0.25986831591395798</v>
      </c>
      <c r="N151" s="20" t="s">
        <v>80</v>
      </c>
    </row>
    <row r="152" spans="1:14" x14ac:dyDescent="0.3">
      <c r="A152" s="9" t="s">
        <v>237</v>
      </c>
      <c r="B152" s="10">
        <v>43</v>
      </c>
      <c r="C152" s="11">
        <v>68667</v>
      </c>
      <c r="D152" s="11">
        <v>1895</v>
      </c>
      <c r="E152" s="10">
        <v>384</v>
      </c>
      <c r="F152" s="10">
        <v>24</v>
      </c>
      <c r="G152" s="9" t="s">
        <v>76</v>
      </c>
      <c r="H152" s="9" t="s">
        <v>99</v>
      </c>
      <c r="I152" s="9" t="s">
        <v>83</v>
      </c>
      <c r="J152" s="9" t="s">
        <v>95</v>
      </c>
      <c r="K152" s="10">
        <v>120</v>
      </c>
      <c r="L152" s="12">
        <v>0.17499999999999999</v>
      </c>
      <c r="M152" s="13">
        <v>2.75969534128475E-2</v>
      </c>
      <c r="N152" s="14" t="s">
        <v>80</v>
      </c>
    </row>
    <row r="153" spans="1:14" x14ac:dyDescent="0.3">
      <c r="A153" s="15" t="s">
        <v>238</v>
      </c>
      <c r="B153" s="16">
        <v>31</v>
      </c>
      <c r="C153" s="17">
        <v>51980</v>
      </c>
      <c r="D153" s="17">
        <v>25098</v>
      </c>
      <c r="E153" s="16">
        <v>697</v>
      </c>
      <c r="F153" s="16">
        <v>0</v>
      </c>
      <c r="G153" s="15" t="s">
        <v>82</v>
      </c>
      <c r="H153" s="15" t="s">
        <v>86</v>
      </c>
      <c r="I153" s="15" t="s">
        <v>83</v>
      </c>
      <c r="J153" s="15" t="s">
        <v>84</v>
      </c>
      <c r="K153" s="16">
        <v>84</v>
      </c>
      <c r="L153" s="18">
        <v>0.105</v>
      </c>
      <c r="M153" s="19">
        <v>0.48283955367449</v>
      </c>
      <c r="N153" s="7" t="s">
        <v>87</v>
      </c>
    </row>
    <row r="154" spans="1:14" x14ac:dyDescent="0.3">
      <c r="A154" s="9" t="s">
        <v>239</v>
      </c>
      <c r="B154" s="10">
        <v>56</v>
      </c>
      <c r="C154" s="11">
        <v>55422</v>
      </c>
      <c r="D154" s="11">
        <v>29233</v>
      </c>
      <c r="E154" s="10">
        <v>692</v>
      </c>
      <c r="F154" s="10">
        <v>21</v>
      </c>
      <c r="G154" s="9" t="s">
        <v>82</v>
      </c>
      <c r="H154" s="9" t="s">
        <v>99</v>
      </c>
      <c r="I154" s="9" t="s">
        <v>92</v>
      </c>
      <c r="J154" s="9" t="s">
        <v>84</v>
      </c>
      <c r="K154" s="10">
        <v>60</v>
      </c>
      <c r="L154" s="12">
        <v>0.105</v>
      </c>
      <c r="M154" s="13">
        <v>0.52746201869293796</v>
      </c>
      <c r="N154" s="4" t="s">
        <v>87</v>
      </c>
    </row>
    <row r="155" spans="1:14" x14ac:dyDescent="0.3">
      <c r="A155" s="15" t="s">
        <v>240</v>
      </c>
      <c r="B155" s="16">
        <v>44</v>
      </c>
      <c r="C155" s="17">
        <v>49488</v>
      </c>
      <c r="D155" s="17">
        <v>7795</v>
      </c>
      <c r="E155" s="16">
        <v>346</v>
      </c>
      <c r="F155" s="16">
        <v>3</v>
      </c>
      <c r="G155" s="15" t="s">
        <v>76</v>
      </c>
      <c r="H155" s="15" t="s">
        <v>86</v>
      </c>
      <c r="I155" s="15" t="s">
        <v>83</v>
      </c>
      <c r="J155" s="15" t="s">
        <v>84</v>
      </c>
      <c r="K155" s="16">
        <v>36</v>
      </c>
      <c r="L155" s="18">
        <v>0.17499999999999999</v>
      </c>
      <c r="M155" s="19">
        <v>0.157512932428063</v>
      </c>
      <c r="N155" s="20" t="s">
        <v>80</v>
      </c>
    </row>
    <row r="156" spans="1:14" x14ac:dyDescent="0.3">
      <c r="A156" s="9" t="s">
        <v>241</v>
      </c>
      <c r="B156" s="10">
        <v>26</v>
      </c>
      <c r="C156" s="11">
        <v>18713</v>
      </c>
      <c r="D156" s="11">
        <v>19922</v>
      </c>
      <c r="E156" s="10">
        <v>640</v>
      </c>
      <c r="F156" s="10">
        <v>27</v>
      </c>
      <c r="G156" s="9" t="s">
        <v>82</v>
      </c>
      <c r="H156" s="9" t="s">
        <v>86</v>
      </c>
      <c r="I156" s="9" t="s">
        <v>78</v>
      </c>
      <c r="J156" s="9" t="s">
        <v>79</v>
      </c>
      <c r="K156" s="10">
        <v>48</v>
      </c>
      <c r="L156" s="12">
        <v>0.13500000000000001</v>
      </c>
      <c r="M156" s="13">
        <v>1.0646074921177799</v>
      </c>
      <c r="N156" s="14" t="s">
        <v>80</v>
      </c>
    </row>
    <row r="157" spans="1:14" x14ac:dyDescent="0.3">
      <c r="A157" s="15" t="s">
        <v>242</v>
      </c>
      <c r="B157" s="16">
        <v>32</v>
      </c>
      <c r="C157" s="17">
        <v>47197</v>
      </c>
      <c r="D157" s="17">
        <v>27933</v>
      </c>
      <c r="E157" s="16">
        <v>579</v>
      </c>
      <c r="F157" s="16">
        <v>13</v>
      </c>
      <c r="G157" s="15" t="s">
        <v>82</v>
      </c>
      <c r="H157" s="15" t="s">
        <v>77</v>
      </c>
      <c r="I157" s="15" t="s">
        <v>92</v>
      </c>
      <c r="J157" s="15" t="s">
        <v>95</v>
      </c>
      <c r="K157" s="16">
        <v>84</v>
      </c>
      <c r="L157" s="18">
        <v>0.13500000000000001</v>
      </c>
      <c r="M157" s="19">
        <v>0.59183846430917197</v>
      </c>
      <c r="N157" s="20" t="s">
        <v>80</v>
      </c>
    </row>
    <row r="158" spans="1:14" x14ac:dyDescent="0.3">
      <c r="A158" s="9" t="s">
        <v>243</v>
      </c>
      <c r="B158" s="10">
        <v>32</v>
      </c>
      <c r="C158" s="11">
        <v>46416</v>
      </c>
      <c r="D158" s="11">
        <v>17124</v>
      </c>
      <c r="E158" s="10">
        <v>777</v>
      </c>
      <c r="F158" s="10">
        <v>32</v>
      </c>
      <c r="G158" s="9" t="s">
        <v>82</v>
      </c>
      <c r="H158" s="9" t="s">
        <v>77</v>
      </c>
      <c r="I158" s="9" t="s">
        <v>90</v>
      </c>
      <c r="J158" s="9" t="s">
        <v>79</v>
      </c>
      <c r="K158" s="10">
        <v>36</v>
      </c>
      <c r="L158" s="12">
        <v>7.4999999999999997E-2</v>
      </c>
      <c r="M158" s="13">
        <v>0.36892450879007199</v>
      </c>
      <c r="N158" s="14" t="s">
        <v>80</v>
      </c>
    </row>
    <row r="159" spans="1:14" x14ac:dyDescent="0.3">
      <c r="A159" s="15" t="s">
        <v>244</v>
      </c>
      <c r="B159" s="16">
        <v>43</v>
      </c>
      <c r="C159" s="17">
        <v>71452</v>
      </c>
      <c r="D159" s="17">
        <v>29545</v>
      </c>
      <c r="E159" s="16">
        <v>725</v>
      </c>
      <c r="F159" s="16">
        <v>3</v>
      </c>
      <c r="G159" s="15" t="s">
        <v>82</v>
      </c>
      <c r="H159" s="15" t="s">
        <v>99</v>
      </c>
      <c r="I159" s="15" t="s">
        <v>83</v>
      </c>
      <c r="J159" s="15" t="s">
        <v>95</v>
      </c>
      <c r="K159" s="16">
        <v>36</v>
      </c>
      <c r="L159" s="18">
        <v>0.105</v>
      </c>
      <c r="M159" s="19">
        <v>0.41349437384537902</v>
      </c>
      <c r="N159" s="7" t="s">
        <v>87</v>
      </c>
    </row>
    <row r="160" spans="1:14" x14ac:dyDescent="0.3">
      <c r="A160" s="9" t="s">
        <v>245</v>
      </c>
      <c r="B160" s="10">
        <v>59</v>
      </c>
      <c r="C160" s="11">
        <v>55006</v>
      </c>
      <c r="D160" s="11">
        <v>18878</v>
      </c>
      <c r="E160" s="10">
        <v>725</v>
      </c>
      <c r="F160" s="10">
        <v>10</v>
      </c>
      <c r="G160" s="9" t="s">
        <v>82</v>
      </c>
      <c r="H160" s="9" t="s">
        <v>86</v>
      </c>
      <c r="I160" s="9" t="s">
        <v>90</v>
      </c>
      <c r="J160" s="9" t="s">
        <v>84</v>
      </c>
      <c r="K160" s="10">
        <v>12</v>
      </c>
      <c r="L160" s="12">
        <v>0.105</v>
      </c>
      <c r="M160" s="13">
        <v>0.34319892375377198</v>
      </c>
      <c r="N160" s="4" t="s">
        <v>87</v>
      </c>
    </row>
    <row r="161" spans="1:14" x14ac:dyDescent="0.3">
      <c r="A161" s="15" t="s">
        <v>246</v>
      </c>
      <c r="B161" s="16">
        <v>30</v>
      </c>
      <c r="C161" s="17">
        <v>45536</v>
      </c>
      <c r="D161" s="17">
        <v>15799</v>
      </c>
      <c r="E161" s="16">
        <v>814</v>
      </c>
      <c r="F161" s="16">
        <v>38</v>
      </c>
      <c r="G161" s="15" t="s">
        <v>76</v>
      </c>
      <c r="H161" s="15" t="s">
        <v>99</v>
      </c>
      <c r="I161" s="15" t="s">
        <v>83</v>
      </c>
      <c r="J161" s="15" t="s">
        <v>84</v>
      </c>
      <c r="K161" s="16">
        <v>36</v>
      </c>
      <c r="L161" s="18">
        <v>7.4999999999999997E-2</v>
      </c>
      <c r="M161" s="19">
        <v>0.34695625439212902</v>
      </c>
      <c r="N161" s="7" t="s">
        <v>87</v>
      </c>
    </row>
    <row r="162" spans="1:14" x14ac:dyDescent="0.3">
      <c r="A162" s="9" t="s">
        <v>247</v>
      </c>
      <c r="B162" s="10">
        <v>68</v>
      </c>
      <c r="C162" s="11">
        <v>48648</v>
      </c>
      <c r="D162" s="11">
        <v>30002</v>
      </c>
      <c r="E162" s="10">
        <v>428</v>
      </c>
      <c r="F162" s="10">
        <v>31</v>
      </c>
      <c r="G162" s="9" t="s">
        <v>82</v>
      </c>
      <c r="H162" s="9" t="s">
        <v>77</v>
      </c>
      <c r="I162" s="9" t="s">
        <v>78</v>
      </c>
      <c r="J162" s="9" t="s">
        <v>84</v>
      </c>
      <c r="K162" s="10">
        <v>60</v>
      </c>
      <c r="L162" s="12">
        <v>0.17499999999999999</v>
      </c>
      <c r="M162" s="13">
        <v>0.61671600065778698</v>
      </c>
      <c r="N162" s="14" t="s">
        <v>80</v>
      </c>
    </row>
    <row r="163" spans="1:14" x14ac:dyDescent="0.3">
      <c r="A163" s="15" t="s">
        <v>248</v>
      </c>
      <c r="B163" s="16">
        <v>49</v>
      </c>
      <c r="C163" s="17">
        <v>65351</v>
      </c>
      <c r="D163" s="17">
        <v>12530</v>
      </c>
      <c r="E163" s="16">
        <v>548</v>
      </c>
      <c r="F163" s="16">
        <v>3</v>
      </c>
      <c r="G163" s="15" t="s">
        <v>82</v>
      </c>
      <c r="H163" s="15" t="s">
        <v>77</v>
      </c>
      <c r="I163" s="15" t="s">
        <v>83</v>
      </c>
      <c r="J163" s="15" t="s">
        <v>79</v>
      </c>
      <c r="K163" s="16">
        <v>120</v>
      </c>
      <c r="L163" s="18">
        <v>0.17499999999999999</v>
      </c>
      <c r="M163" s="19">
        <v>0.191733867882664</v>
      </c>
      <c r="N163" s="20" t="s">
        <v>80</v>
      </c>
    </row>
    <row r="164" spans="1:14" x14ac:dyDescent="0.3">
      <c r="A164" s="9" t="s">
        <v>249</v>
      </c>
      <c r="B164" s="10">
        <v>56</v>
      </c>
      <c r="C164" s="11">
        <v>47231</v>
      </c>
      <c r="D164" s="11">
        <v>14201</v>
      </c>
      <c r="E164" s="10">
        <v>430</v>
      </c>
      <c r="F164" s="10">
        <v>0</v>
      </c>
      <c r="G164" s="9" t="s">
        <v>82</v>
      </c>
      <c r="H164" s="9" t="s">
        <v>77</v>
      </c>
      <c r="I164" s="9" t="s">
        <v>78</v>
      </c>
      <c r="J164" s="9" t="s">
        <v>79</v>
      </c>
      <c r="K164" s="10">
        <v>84</v>
      </c>
      <c r="L164" s="12">
        <v>0.17499999999999999</v>
      </c>
      <c r="M164" s="13">
        <v>0.30067116935910698</v>
      </c>
      <c r="N164" s="14" t="s">
        <v>80</v>
      </c>
    </row>
    <row r="165" spans="1:14" x14ac:dyDescent="0.3">
      <c r="A165" s="15" t="s">
        <v>250</v>
      </c>
      <c r="B165" s="16">
        <v>66</v>
      </c>
      <c r="C165" s="17">
        <v>39527</v>
      </c>
      <c r="D165" s="17">
        <v>12836</v>
      </c>
      <c r="E165" s="16">
        <v>622</v>
      </c>
      <c r="F165" s="16">
        <v>25</v>
      </c>
      <c r="G165" s="15" t="s">
        <v>76</v>
      </c>
      <c r="H165" s="15" t="s">
        <v>77</v>
      </c>
      <c r="I165" s="15" t="s">
        <v>78</v>
      </c>
      <c r="J165" s="15" t="s">
        <v>95</v>
      </c>
      <c r="K165" s="16">
        <v>36</v>
      </c>
      <c r="L165" s="18">
        <v>0.13500000000000001</v>
      </c>
      <c r="M165" s="19">
        <v>0.32474005110430798</v>
      </c>
      <c r="N165" s="20" t="s">
        <v>80</v>
      </c>
    </row>
    <row r="166" spans="1:14" x14ac:dyDescent="0.3">
      <c r="A166" s="9" t="s">
        <v>251</v>
      </c>
      <c r="B166" s="10">
        <v>69</v>
      </c>
      <c r="C166" s="11">
        <v>45864</v>
      </c>
      <c r="D166" s="11">
        <v>10859</v>
      </c>
      <c r="E166" s="10">
        <v>842</v>
      </c>
      <c r="F166" s="10">
        <v>32</v>
      </c>
      <c r="G166" s="9" t="s">
        <v>82</v>
      </c>
      <c r="H166" s="9" t="s">
        <v>77</v>
      </c>
      <c r="I166" s="9" t="s">
        <v>90</v>
      </c>
      <c r="J166" s="9" t="s">
        <v>95</v>
      </c>
      <c r="K166" s="10">
        <v>12</v>
      </c>
      <c r="L166" s="12">
        <v>7.4999999999999997E-2</v>
      </c>
      <c r="M166" s="13">
        <v>0.236765218908076</v>
      </c>
      <c r="N166" s="4" t="s">
        <v>87</v>
      </c>
    </row>
    <row r="167" spans="1:14" x14ac:dyDescent="0.3">
      <c r="A167" s="15" t="s">
        <v>252</v>
      </c>
      <c r="B167" s="16">
        <v>49</v>
      </c>
      <c r="C167" s="17">
        <v>64110</v>
      </c>
      <c r="D167" s="17">
        <v>21224</v>
      </c>
      <c r="E167" s="16">
        <v>365</v>
      </c>
      <c r="F167" s="16">
        <v>16</v>
      </c>
      <c r="G167" s="15" t="s">
        <v>82</v>
      </c>
      <c r="H167" s="15" t="s">
        <v>99</v>
      </c>
      <c r="I167" s="15" t="s">
        <v>83</v>
      </c>
      <c r="J167" s="15" t="s">
        <v>84</v>
      </c>
      <c r="K167" s="16">
        <v>60</v>
      </c>
      <c r="L167" s="18">
        <v>0.17499999999999999</v>
      </c>
      <c r="M167" s="19">
        <v>0.33105599750428999</v>
      </c>
      <c r="N167" s="20" t="s">
        <v>80</v>
      </c>
    </row>
    <row r="168" spans="1:14" x14ac:dyDescent="0.3">
      <c r="A168" s="9" t="s">
        <v>253</v>
      </c>
      <c r="B168" s="10">
        <v>21</v>
      </c>
      <c r="C168" s="11">
        <v>57442</v>
      </c>
      <c r="D168" s="11">
        <v>15897</v>
      </c>
      <c r="E168" s="10">
        <v>400</v>
      </c>
      <c r="F168" s="10">
        <v>26</v>
      </c>
      <c r="G168" s="9" t="s">
        <v>82</v>
      </c>
      <c r="H168" s="9" t="s">
        <v>99</v>
      </c>
      <c r="I168" s="9" t="s">
        <v>90</v>
      </c>
      <c r="J168" s="9" t="s">
        <v>79</v>
      </c>
      <c r="K168" s="10">
        <v>24</v>
      </c>
      <c r="L168" s="12">
        <v>0.17499999999999999</v>
      </c>
      <c r="M168" s="13">
        <v>0.276748720448452</v>
      </c>
      <c r="N168" s="14" t="s">
        <v>80</v>
      </c>
    </row>
    <row r="169" spans="1:14" x14ac:dyDescent="0.3">
      <c r="A169" s="15" t="s">
        <v>254</v>
      </c>
      <c r="B169" s="16">
        <v>47</v>
      </c>
      <c r="C169" s="17">
        <v>50664</v>
      </c>
      <c r="D169" s="17">
        <v>23909</v>
      </c>
      <c r="E169" s="16">
        <v>330</v>
      </c>
      <c r="F169" s="16">
        <v>4</v>
      </c>
      <c r="G169" s="15" t="s">
        <v>82</v>
      </c>
      <c r="H169" s="15" t="s">
        <v>77</v>
      </c>
      <c r="I169" s="15" t="s">
        <v>78</v>
      </c>
      <c r="J169" s="15" t="s">
        <v>79</v>
      </c>
      <c r="K169" s="16">
        <v>120</v>
      </c>
      <c r="L169" s="18">
        <v>0.17499999999999999</v>
      </c>
      <c r="M169" s="19">
        <v>0.471912995420812</v>
      </c>
      <c r="N169" s="20" t="s">
        <v>80</v>
      </c>
    </row>
    <row r="170" spans="1:14" x14ac:dyDescent="0.3">
      <c r="A170" s="9" t="s">
        <v>255</v>
      </c>
      <c r="B170" s="10">
        <v>54</v>
      </c>
      <c r="C170" s="11">
        <v>52873</v>
      </c>
      <c r="D170" s="11">
        <v>6123</v>
      </c>
      <c r="E170" s="10">
        <v>490</v>
      </c>
      <c r="F170" s="10">
        <v>6</v>
      </c>
      <c r="G170" s="9" t="s">
        <v>76</v>
      </c>
      <c r="H170" s="9" t="s">
        <v>99</v>
      </c>
      <c r="I170" s="9" t="s">
        <v>78</v>
      </c>
      <c r="J170" s="9" t="s">
        <v>95</v>
      </c>
      <c r="K170" s="10">
        <v>120</v>
      </c>
      <c r="L170" s="12">
        <v>0.17499999999999999</v>
      </c>
      <c r="M170" s="13">
        <v>0.1158057988009</v>
      </c>
      <c r="N170" s="14" t="s">
        <v>80</v>
      </c>
    </row>
    <row r="171" spans="1:14" x14ac:dyDescent="0.3">
      <c r="A171" s="15" t="s">
        <v>256</v>
      </c>
      <c r="B171" s="16">
        <v>40</v>
      </c>
      <c r="C171" s="17">
        <v>41604</v>
      </c>
      <c r="D171" s="17">
        <v>11020</v>
      </c>
      <c r="E171" s="16">
        <v>714</v>
      </c>
      <c r="F171" s="16">
        <v>24</v>
      </c>
      <c r="G171" s="15" t="s">
        <v>76</v>
      </c>
      <c r="H171" s="15" t="s">
        <v>77</v>
      </c>
      <c r="I171" s="15" t="s">
        <v>78</v>
      </c>
      <c r="J171" s="15" t="s">
        <v>95</v>
      </c>
      <c r="K171" s="16">
        <v>84</v>
      </c>
      <c r="L171" s="18">
        <v>0.105</v>
      </c>
      <c r="M171" s="19">
        <v>0.26487837707912698</v>
      </c>
      <c r="N171" s="7" t="s">
        <v>87</v>
      </c>
    </row>
    <row r="172" spans="1:14" x14ac:dyDescent="0.3">
      <c r="A172" s="9" t="s">
        <v>257</v>
      </c>
      <c r="B172" s="10">
        <v>56</v>
      </c>
      <c r="C172" s="11">
        <v>47091</v>
      </c>
      <c r="D172" s="11">
        <v>20413</v>
      </c>
      <c r="E172" s="10">
        <v>799</v>
      </c>
      <c r="F172" s="10">
        <v>7</v>
      </c>
      <c r="G172" s="9" t="s">
        <v>82</v>
      </c>
      <c r="H172" s="9" t="s">
        <v>77</v>
      </c>
      <c r="I172" s="9" t="s">
        <v>78</v>
      </c>
      <c r="J172" s="9" t="s">
        <v>79</v>
      </c>
      <c r="K172" s="10">
        <v>120</v>
      </c>
      <c r="L172" s="12">
        <v>7.4999999999999997E-2</v>
      </c>
      <c r="M172" s="13">
        <v>0.43347985814699203</v>
      </c>
      <c r="N172" s="14" t="s">
        <v>80</v>
      </c>
    </row>
    <row r="173" spans="1:14" x14ac:dyDescent="0.3">
      <c r="A173" s="15" t="s">
        <v>258</v>
      </c>
      <c r="B173" s="16">
        <v>62</v>
      </c>
      <c r="C173" s="17">
        <v>40050</v>
      </c>
      <c r="D173" s="17">
        <v>31757</v>
      </c>
      <c r="E173" s="16">
        <v>345</v>
      </c>
      <c r="F173" s="16">
        <v>33</v>
      </c>
      <c r="G173" s="15" t="s">
        <v>76</v>
      </c>
      <c r="H173" s="15" t="s">
        <v>89</v>
      </c>
      <c r="I173" s="15" t="s">
        <v>92</v>
      </c>
      <c r="J173" s="15" t="s">
        <v>79</v>
      </c>
      <c r="K173" s="16">
        <v>36</v>
      </c>
      <c r="L173" s="18">
        <v>0.17499999999999999</v>
      </c>
      <c r="M173" s="19">
        <v>0.79293383270911399</v>
      </c>
      <c r="N173" s="20" t="s">
        <v>80</v>
      </c>
    </row>
    <row r="174" spans="1:14" x14ac:dyDescent="0.3">
      <c r="A174" s="9" t="s">
        <v>259</v>
      </c>
      <c r="B174" s="10">
        <v>32</v>
      </c>
      <c r="C174" s="11">
        <v>45578</v>
      </c>
      <c r="D174" s="11">
        <v>23028</v>
      </c>
      <c r="E174" s="10">
        <v>388</v>
      </c>
      <c r="F174" s="10">
        <v>3</v>
      </c>
      <c r="G174" s="9" t="s">
        <v>76</v>
      </c>
      <c r="H174" s="9" t="s">
        <v>99</v>
      </c>
      <c r="I174" s="9" t="s">
        <v>78</v>
      </c>
      <c r="J174" s="9" t="s">
        <v>95</v>
      </c>
      <c r="K174" s="10">
        <v>12</v>
      </c>
      <c r="L174" s="12">
        <v>0.17499999999999999</v>
      </c>
      <c r="M174" s="13">
        <v>0.50524375795339904</v>
      </c>
      <c r="N174" s="14" t="s">
        <v>80</v>
      </c>
    </row>
    <row r="175" spans="1:14" x14ac:dyDescent="0.3">
      <c r="A175" s="15" t="s">
        <v>260</v>
      </c>
      <c r="B175" s="16">
        <v>60</v>
      </c>
      <c r="C175" s="17">
        <v>70193</v>
      </c>
      <c r="D175" s="17">
        <v>15285</v>
      </c>
      <c r="E175" s="16">
        <v>674</v>
      </c>
      <c r="F175" s="16">
        <v>11</v>
      </c>
      <c r="G175" s="15" t="s">
        <v>76</v>
      </c>
      <c r="H175" s="15" t="s">
        <v>99</v>
      </c>
      <c r="I175" s="15" t="s">
        <v>83</v>
      </c>
      <c r="J175" s="15" t="s">
        <v>79</v>
      </c>
      <c r="K175" s="16">
        <v>120</v>
      </c>
      <c r="L175" s="18">
        <v>0.105</v>
      </c>
      <c r="M175" s="19">
        <v>0.21775675637171801</v>
      </c>
      <c r="N175" s="20" t="s">
        <v>80</v>
      </c>
    </row>
    <row r="176" spans="1:14" x14ac:dyDescent="0.3">
      <c r="A176" s="9" t="s">
        <v>261</v>
      </c>
      <c r="B176" s="10">
        <v>46</v>
      </c>
      <c r="C176" s="11">
        <v>33832</v>
      </c>
      <c r="D176" s="11">
        <v>8084</v>
      </c>
      <c r="E176" s="10">
        <v>545</v>
      </c>
      <c r="F176" s="10">
        <v>30</v>
      </c>
      <c r="G176" s="9" t="s">
        <v>82</v>
      </c>
      <c r="H176" s="9" t="s">
        <v>86</v>
      </c>
      <c r="I176" s="9" t="s">
        <v>78</v>
      </c>
      <c r="J176" s="9" t="s">
        <v>79</v>
      </c>
      <c r="K176" s="10">
        <v>120</v>
      </c>
      <c r="L176" s="12">
        <v>0.17499999999999999</v>
      </c>
      <c r="M176" s="13">
        <v>0.23894537715772099</v>
      </c>
      <c r="N176" s="14" t="s">
        <v>80</v>
      </c>
    </row>
    <row r="177" spans="1:14" x14ac:dyDescent="0.3">
      <c r="A177" s="15" t="s">
        <v>262</v>
      </c>
      <c r="B177" s="16">
        <v>53</v>
      </c>
      <c r="C177" s="17">
        <v>39669</v>
      </c>
      <c r="D177" s="17">
        <v>14817</v>
      </c>
      <c r="E177" s="16">
        <v>556</v>
      </c>
      <c r="F177" s="16">
        <v>10</v>
      </c>
      <c r="G177" s="15" t="s">
        <v>82</v>
      </c>
      <c r="H177" s="15" t="s">
        <v>99</v>
      </c>
      <c r="I177" s="15" t="s">
        <v>92</v>
      </c>
      <c r="J177" s="15" t="s">
        <v>84</v>
      </c>
      <c r="K177" s="16">
        <v>24</v>
      </c>
      <c r="L177" s="18">
        <v>0.13500000000000001</v>
      </c>
      <c r="M177" s="19">
        <v>0.373515843605838</v>
      </c>
      <c r="N177" s="20" t="s">
        <v>80</v>
      </c>
    </row>
    <row r="178" spans="1:14" x14ac:dyDescent="0.3">
      <c r="A178" s="9" t="s">
        <v>263</v>
      </c>
      <c r="B178" s="10">
        <v>30</v>
      </c>
      <c r="C178" s="11">
        <v>31186</v>
      </c>
      <c r="D178" s="11">
        <v>19660</v>
      </c>
      <c r="E178" s="10">
        <v>651</v>
      </c>
      <c r="F178" s="10">
        <v>36</v>
      </c>
      <c r="G178" s="9" t="s">
        <v>82</v>
      </c>
      <c r="H178" s="9" t="s">
        <v>99</v>
      </c>
      <c r="I178" s="9" t="s">
        <v>83</v>
      </c>
      <c r="J178" s="9" t="s">
        <v>79</v>
      </c>
      <c r="K178" s="10">
        <v>24</v>
      </c>
      <c r="L178" s="12">
        <v>0.105</v>
      </c>
      <c r="M178" s="13">
        <v>0.63041108189572304</v>
      </c>
      <c r="N178" s="14" t="s">
        <v>80</v>
      </c>
    </row>
    <row r="179" spans="1:14" x14ac:dyDescent="0.3">
      <c r="A179" s="15" t="s">
        <v>264</v>
      </c>
      <c r="B179" s="16">
        <v>49</v>
      </c>
      <c r="C179" s="17">
        <v>27936</v>
      </c>
      <c r="D179" s="17">
        <v>1138</v>
      </c>
      <c r="E179" s="16">
        <v>579</v>
      </c>
      <c r="F179" s="16">
        <v>35</v>
      </c>
      <c r="G179" s="15" t="s">
        <v>82</v>
      </c>
      <c r="H179" s="15" t="s">
        <v>94</v>
      </c>
      <c r="I179" s="15" t="s">
        <v>92</v>
      </c>
      <c r="J179" s="15" t="s">
        <v>79</v>
      </c>
      <c r="K179" s="16">
        <v>48</v>
      </c>
      <c r="L179" s="18">
        <v>0.13500000000000001</v>
      </c>
      <c r="M179" s="19">
        <v>4.0735967926689598E-2</v>
      </c>
      <c r="N179" s="20" t="s">
        <v>80</v>
      </c>
    </row>
    <row r="180" spans="1:14" x14ac:dyDescent="0.3">
      <c r="A180" s="9" t="s">
        <v>265</v>
      </c>
      <c r="B180" s="10">
        <v>24</v>
      </c>
      <c r="C180" s="11">
        <v>47198</v>
      </c>
      <c r="D180" s="11">
        <v>10293</v>
      </c>
      <c r="E180" s="10">
        <v>636</v>
      </c>
      <c r="F180" s="10">
        <v>21</v>
      </c>
      <c r="G180" s="9" t="s">
        <v>82</v>
      </c>
      <c r="H180" s="9" t="s">
        <v>77</v>
      </c>
      <c r="I180" s="9" t="s">
        <v>92</v>
      </c>
      <c r="J180" s="9" t="s">
        <v>79</v>
      </c>
      <c r="K180" s="10">
        <v>60</v>
      </c>
      <c r="L180" s="12">
        <v>0.13500000000000001</v>
      </c>
      <c r="M180" s="13">
        <v>0.21808127463028101</v>
      </c>
      <c r="N180" s="14" t="s">
        <v>80</v>
      </c>
    </row>
    <row r="181" spans="1:14" x14ac:dyDescent="0.3">
      <c r="A181" s="15" t="s">
        <v>266</v>
      </c>
      <c r="B181" s="16">
        <v>68</v>
      </c>
      <c r="C181" s="17">
        <v>40736</v>
      </c>
      <c r="D181" s="17">
        <v>14100</v>
      </c>
      <c r="E181" s="16">
        <v>825</v>
      </c>
      <c r="F181" s="16">
        <v>0</v>
      </c>
      <c r="G181" s="15" t="s">
        <v>82</v>
      </c>
      <c r="H181" s="15" t="s">
        <v>77</v>
      </c>
      <c r="I181" s="15" t="s">
        <v>83</v>
      </c>
      <c r="J181" s="15" t="s">
        <v>95</v>
      </c>
      <c r="K181" s="16">
        <v>36</v>
      </c>
      <c r="L181" s="18">
        <v>7.4999999999999997E-2</v>
      </c>
      <c r="M181" s="19">
        <v>0.34613118617439098</v>
      </c>
      <c r="N181" s="7" t="s">
        <v>87</v>
      </c>
    </row>
    <row r="182" spans="1:14" x14ac:dyDescent="0.3">
      <c r="A182" s="9" t="s">
        <v>267</v>
      </c>
      <c r="B182" s="10">
        <v>39</v>
      </c>
      <c r="C182" s="11">
        <v>76425</v>
      </c>
      <c r="D182" s="11">
        <v>17941</v>
      </c>
      <c r="E182" s="10">
        <v>600</v>
      </c>
      <c r="F182" s="10">
        <v>3</v>
      </c>
      <c r="G182" s="9" t="s">
        <v>76</v>
      </c>
      <c r="H182" s="9" t="s">
        <v>99</v>
      </c>
      <c r="I182" s="9" t="s">
        <v>92</v>
      </c>
      <c r="J182" s="9" t="s">
        <v>84</v>
      </c>
      <c r="K182" s="10">
        <v>120</v>
      </c>
      <c r="L182" s="12">
        <v>0.13500000000000001</v>
      </c>
      <c r="M182" s="13">
        <v>0.23475302584232899</v>
      </c>
      <c r="N182" s="14" t="s">
        <v>80</v>
      </c>
    </row>
    <row r="183" spans="1:14" x14ac:dyDescent="0.3">
      <c r="A183" s="15" t="s">
        <v>268</v>
      </c>
      <c r="B183" s="16">
        <v>45</v>
      </c>
      <c r="C183" s="17">
        <v>45757</v>
      </c>
      <c r="D183" s="17">
        <v>19565</v>
      </c>
      <c r="E183" s="16">
        <v>376</v>
      </c>
      <c r="F183" s="16">
        <v>35</v>
      </c>
      <c r="G183" s="15" t="s">
        <v>76</v>
      </c>
      <c r="H183" s="15" t="s">
        <v>99</v>
      </c>
      <c r="I183" s="15" t="s">
        <v>78</v>
      </c>
      <c r="J183" s="15" t="s">
        <v>95</v>
      </c>
      <c r="K183" s="16">
        <v>120</v>
      </c>
      <c r="L183" s="18">
        <v>0.17499999999999999</v>
      </c>
      <c r="M183" s="19">
        <v>0.42758485040540301</v>
      </c>
      <c r="N183" s="20" t="s">
        <v>80</v>
      </c>
    </row>
    <row r="184" spans="1:14" x14ac:dyDescent="0.3">
      <c r="A184" s="9" t="s">
        <v>269</v>
      </c>
      <c r="B184" s="10">
        <v>19</v>
      </c>
      <c r="C184" s="11">
        <v>69341</v>
      </c>
      <c r="D184" s="11">
        <v>15113</v>
      </c>
      <c r="E184" s="10">
        <v>810</v>
      </c>
      <c r="F184" s="10">
        <v>7</v>
      </c>
      <c r="G184" s="9" t="s">
        <v>76</v>
      </c>
      <c r="H184" s="9" t="s">
        <v>86</v>
      </c>
      <c r="I184" s="9" t="s">
        <v>90</v>
      </c>
      <c r="J184" s="9" t="s">
        <v>84</v>
      </c>
      <c r="K184" s="10">
        <v>12</v>
      </c>
      <c r="L184" s="12">
        <v>7.4999999999999997E-2</v>
      </c>
      <c r="M184" s="13">
        <v>0.21795186109228301</v>
      </c>
      <c r="N184" s="4" t="s">
        <v>87</v>
      </c>
    </row>
    <row r="185" spans="1:14" x14ac:dyDescent="0.3">
      <c r="A185" s="15" t="s">
        <v>270</v>
      </c>
      <c r="B185" s="16">
        <v>59</v>
      </c>
      <c r="C185" s="17">
        <v>64520</v>
      </c>
      <c r="D185" s="17">
        <v>24047</v>
      </c>
      <c r="E185" s="16">
        <v>529</v>
      </c>
      <c r="F185" s="16">
        <v>24</v>
      </c>
      <c r="G185" s="15" t="s">
        <v>76</v>
      </c>
      <c r="H185" s="15" t="s">
        <v>94</v>
      </c>
      <c r="I185" s="15" t="s">
        <v>90</v>
      </c>
      <c r="J185" s="15" t="s">
        <v>84</v>
      </c>
      <c r="K185" s="16">
        <v>48</v>
      </c>
      <c r="L185" s="18">
        <v>0.17499999999999999</v>
      </c>
      <c r="M185" s="19">
        <v>0.37270613763174198</v>
      </c>
      <c r="N185" s="20" t="s">
        <v>80</v>
      </c>
    </row>
    <row r="186" spans="1:14" x14ac:dyDescent="0.3">
      <c r="A186" s="9" t="s">
        <v>271</v>
      </c>
      <c r="B186" s="10">
        <v>62</v>
      </c>
      <c r="C186" s="11">
        <v>46866</v>
      </c>
      <c r="D186" s="11">
        <v>20998</v>
      </c>
      <c r="E186" s="10">
        <v>331</v>
      </c>
      <c r="F186" s="10">
        <v>27</v>
      </c>
      <c r="G186" s="9" t="s">
        <v>76</v>
      </c>
      <c r="H186" s="9" t="s">
        <v>77</v>
      </c>
      <c r="I186" s="9" t="s">
        <v>90</v>
      </c>
      <c r="J186" s="9" t="s">
        <v>79</v>
      </c>
      <c r="K186" s="10">
        <v>60</v>
      </c>
      <c r="L186" s="12">
        <v>0.17499999999999999</v>
      </c>
      <c r="M186" s="13">
        <v>0.44804335765800402</v>
      </c>
      <c r="N186" s="14" t="s">
        <v>80</v>
      </c>
    </row>
    <row r="187" spans="1:14" x14ac:dyDescent="0.3">
      <c r="A187" s="15" t="s">
        <v>272</v>
      </c>
      <c r="B187" s="16">
        <v>23</v>
      </c>
      <c r="C187" s="17">
        <v>81652</v>
      </c>
      <c r="D187" s="17">
        <v>17039</v>
      </c>
      <c r="E187" s="16">
        <v>357</v>
      </c>
      <c r="F187" s="16">
        <v>37</v>
      </c>
      <c r="G187" s="15" t="s">
        <v>82</v>
      </c>
      <c r="H187" s="15" t="s">
        <v>77</v>
      </c>
      <c r="I187" s="15" t="s">
        <v>83</v>
      </c>
      <c r="J187" s="15" t="s">
        <v>84</v>
      </c>
      <c r="K187" s="16">
        <v>48</v>
      </c>
      <c r="L187" s="18">
        <v>0.17499999999999999</v>
      </c>
      <c r="M187" s="19">
        <v>0.20867829324450099</v>
      </c>
      <c r="N187" s="20" t="s">
        <v>80</v>
      </c>
    </row>
    <row r="188" spans="1:14" x14ac:dyDescent="0.3">
      <c r="A188" s="9" t="s">
        <v>273</v>
      </c>
      <c r="B188" s="10">
        <v>45</v>
      </c>
      <c r="C188" s="11">
        <v>54028</v>
      </c>
      <c r="D188" s="11">
        <v>25150</v>
      </c>
      <c r="E188" s="10">
        <v>403</v>
      </c>
      <c r="F188" s="10">
        <v>35</v>
      </c>
      <c r="G188" s="9" t="s">
        <v>82</v>
      </c>
      <c r="H188" s="9" t="s">
        <v>99</v>
      </c>
      <c r="I188" s="9" t="s">
        <v>83</v>
      </c>
      <c r="J188" s="9" t="s">
        <v>84</v>
      </c>
      <c r="K188" s="10">
        <v>84</v>
      </c>
      <c r="L188" s="12">
        <v>0.17499999999999999</v>
      </c>
      <c r="M188" s="13">
        <v>0.46549937069667602</v>
      </c>
      <c r="N188" s="14" t="s">
        <v>80</v>
      </c>
    </row>
    <row r="189" spans="1:14" x14ac:dyDescent="0.3">
      <c r="A189" s="15" t="s">
        <v>274</v>
      </c>
      <c r="B189" s="16">
        <v>45</v>
      </c>
      <c r="C189" s="17">
        <v>72695</v>
      </c>
      <c r="D189" s="17">
        <v>24496</v>
      </c>
      <c r="E189" s="16">
        <v>611</v>
      </c>
      <c r="F189" s="16">
        <v>35</v>
      </c>
      <c r="G189" s="15" t="s">
        <v>76</v>
      </c>
      <c r="H189" s="15" t="s">
        <v>99</v>
      </c>
      <c r="I189" s="15" t="s">
        <v>83</v>
      </c>
      <c r="J189" s="15" t="s">
        <v>79</v>
      </c>
      <c r="K189" s="16">
        <v>60</v>
      </c>
      <c r="L189" s="18">
        <v>0.13500000000000001</v>
      </c>
      <c r="M189" s="19">
        <v>0.33696953022903903</v>
      </c>
      <c r="N189" s="20" t="s">
        <v>80</v>
      </c>
    </row>
    <row r="190" spans="1:14" x14ac:dyDescent="0.3">
      <c r="A190" s="9" t="s">
        <v>275</v>
      </c>
      <c r="B190" s="10">
        <v>61</v>
      </c>
      <c r="C190" s="11">
        <v>70949</v>
      </c>
      <c r="D190" s="11">
        <v>8370</v>
      </c>
      <c r="E190" s="10">
        <v>366</v>
      </c>
      <c r="F190" s="10">
        <v>3</v>
      </c>
      <c r="G190" s="9" t="s">
        <v>82</v>
      </c>
      <c r="H190" s="9" t="s">
        <v>94</v>
      </c>
      <c r="I190" s="9" t="s">
        <v>90</v>
      </c>
      <c r="J190" s="9" t="s">
        <v>79</v>
      </c>
      <c r="K190" s="10">
        <v>120</v>
      </c>
      <c r="L190" s="12">
        <v>0.17499999999999999</v>
      </c>
      <c r="M190" s="13">
        <v>0.117972064440655</v>
      </c>
      <c r="N190" s="14" t="s">
        <v>80</v>
      </c>
    </row>
    <row r="191" spans="1:14" x14ac:dyDescent="0.3">
      <c r="A191" s="15" t="s">
        <v>276</v>
      </c>
      <c r="B191" s="16">
        <v>61</v>
      </c>
      <c r="C191" s="17">
        <v>56220</v>
      </c>
      <c r="D191" s="17">
        <v>19744</v>
      </c>
      <c r="E191" s="16">
        <v>673</v>
      </c>
      <c r="F191" s="16">
        <v>12</v>
      </c>
      <c r="G191" s="15" t="s">
        <v>82</v>
      </c>
      <c r="H191" s="15" t="s">
        <v>77</v>
      </c>
      <c r="I191" s="15" t="s">
        <v>90</v>
      </c>
      <c r="J191" s="15" t="s">
        <v>84</v>
      </c>
      <c r="K191" s="16">
        <v>120</v>
      </c>
      <c r="L191" s="18">
        <v>0.105</v>
      </c>
      <c r="M191" s="19">
        <v>0.35119174670935599</v>
      </c>
      <c r="N191" s="7" t="s">
        <v>87</v>
      </c>
    </row>
    <row r="192" spans="1:14" x14ac:dyDescent="0.3">
      <c r="A192" s="9" t="s">
        <v>277</v>
      </c>
      <c r="B192" s="10">
        <v>37</v>
      </c>
      <c r="C192" s="11">
        <v>61267</v>
      </c>
      <c r="D192" s="11">
        <v>27122</v>
      </c>
      <c r="E192" s="10">
        <v>534</v>
      </c>
      <c r="F192" s="10">
        <v>37</v>
      </c>
      <c r="G192" s="9" t="s">
        <v>82</v>
      </c>
      <c r="H192" s="9" t="s">
        <v>94</v>
      </c>
      <c r="I192" s="9" t="s">
        <v>83</v>
      </c>
      <c r="J192" s="9" t="s">
        <v>95</v>
      </c>
      <c r="K192" s="10">
        <v>60</v>
      </c>
      <c r="L192" s="12">
        <v>0.17499999999999999</v>
      </c>
      <c r="M192" s="13">
        <v>0.442685295509818</v>
      </c>
      <c r="N192" s="14" t="s">
        <v>80</v>
      </c>
    </row>
    <row r="193" spans="1:14" x14ac:dyDescent="0.3">
      <c r="A193" s="15" t="s">
        <v>278</v>
      </c>
      <c r="B193" s="16">
        <v>47</v>
      </c>
      <c r="C193" s="17">
        <v>59361</v>
      </c>
      <c r="D193" s="17">
        <v>28460</v>
      </c>
      <c r="E193" s="16">
        <v>411</v>
      </c>
      <c r="F193" s="16">
        <v>24</v>
      </c>
      <c r="G193" s="15" t="s">
        <v>82</v>
      </c>
      <c r="H193" s="15" t="s">
        <v>77</v>
      </c>
      <c r="I193" s="15" t="s">
        <v>90</v>
      </c>
      <c r="J193" s="15" t="s">
        <v>84</v>
      </c>
      <c r="K193" s="16">
        <v>120</v>
      </c>
      <c r="L193" s="18">
        <v>0.17499999999999999</v>
      </c>
      <c r="M193" s="19">
        <v>0.47943936254443198</v>
      </c>
      <c r="N193" s="20" t="s">
        <v>80</v>
      </c>
    </row>
    <row r="194" spans="1:14" x14ac:dyDescent="0.3">
      <c r="A194" s="9" t="s">
        <v>279</v>
      </c>
      <c r="B194" s="10">
        <v>28</v>
      </c>
      <c r="C194" s="11">
        <v>32836</v>
      </c>
      <c r="D194" s="11">
        <v>22967</v>
      </c>
      <c r="E194" s="10">
        <v>688</v>
      </c>
      <c r="F194" s="10">
        <v>2</v>
      </c>
      <c r="G194" s="9" t="s">
        <v>82</v>
      </c>
      <c r="H194" s="9" t="s">
        <v>99</v>
      </c>
      <c r="I194" s="9" t="s">
        <v>92</v>
      </c>
      <c r="J194" s="9" t="s">
        <v>95</v>
      </c>
      <c r="K194" s="10">
        <v>36</v>
      </c>
      <c r="L194" s="12">
        <v>0.105</v>
      </c>
      <c r="M194" s="13">
        <v>0.69944573029601698</v>
      </c>
      <c r="N194" s="14" t="s">
        <v>80</v>
      </c>
    </row>
    <row r="195" spans="1:14" x14ac:dyDescent="0.3">
      <c r="A195" s="15" t="s">
        <v>280</v>
      </c>
      <c r="B195" s="16">
        <v>45</v>
      </c>
      <c r="C195" s="17">
        <v>50859</v>
      </c>
      <c r="D195" s="17">
        <v>18134</v>
      </c>
      <c r="E195" s="16">
        <v>707</v>
      </c>
      <c r="F195" s="16">
        <v>31</v>
      </c>
      <c r="G195" s="15" t="s">
        <v>76</v>
      </c>
      <c r="H195" s="15" t="s">
        <v>94</v>
      </c>
      <c r="I195" s="15" t="s">
        <v>92</v>
      </c>
      <c r="J195" s="15" t="s">
        <v>95</v>
      </c>
      <c r="K195" s="16">
        <v>60</v>
      </c>
      <c r="L195" s="18">
        <v>0.105</v>
      </c>
      <c r="M195" s="19">
        <v>0.35655439548555801</v>
      </c>
      <c r="N195" s="7" t="s">
        <v>87</v>
      </c>
    </row>
    <row r="196" spans="1:14" x14ac:dyDescent="0.3">
      <c r="A196" s="9" t="s">
        <v>281</v>
      </c>
      <c r="B196" s="10">
        <v>42</v>
      </c>
      <c r="C196" s="11">
        <v>66114</v>
      </c>
      <c r="D196" s="11">
        <v>23371</v>
      </c>
      <c r="E196" s="10">
        <v>579</v>
      </c>
      <c r="F196" s="10">
        <v>38</v>
      </c>
      <c r="G196" s="9" t="s">
        <v>76</v>
      </c>
      <c r="H196" s="9" t="s">
        <v>86</v>
      </c>
      <c r="I196" s="9" t="s">
        <v>90</v>
      </c>
      <c r="J196" s="9" t="s">
        <v>84</v>
      </c>
      <c r="K196" s="10">
        <v>48</v>
      </c>
      <c r="L196" s="12">
        <v>0.13500000000000001</v>
      </c>
      <c r="M196" s="13">
        <v>0.35349547750854599</v>
      </c>
      <c r="N196" s="14" t="s">
        <v>80</v>
      </c>
    </row>
    <row r="197" spans="1:14" x14ac:dyDescent="0.3">
      <c r="A197" s="15" t="s">
        <v>282</v>
      </c>
      <c r="B197" s="16">
        <v>56</v>
      </c>
      <c r="C197" s="17">
        <v>72893</v>
      </c>
      <c r="D197" s="17">
        <v>26462</v>
      </c>
      <c r="E197" s="16">
        <v>538</v>
      </c>
      <c r="F197" s="16">
        <v>0</v>
      </c>
      <c r="G197" s="15" t="s">
        <v>76</v>
      </c>
      <c r="H197" s="15" t="s">
        <v>99</v>
      </c>
      <c r="I197" s="15" t="s">
        <v>83</v>
      </c>
      <c r="J197" s="15" t="s">
        <v>95</v>
      </c>
      <c r="K197" s="16">
        <v>60</v>
      </c>
      <c r="L197" s="18">
        <v>0.17499999999999999</v>
      </c>
      <c r="M197" s="19">
        <v>0.36302525619744003</v>
      </c>
      <c r="N197" s="20" t="s">
        <v>80</v>
      </c>
    </row>
    <row r="198" spans="1:14" x14ac:dyDescent="0.3">
      <c r="A198" s="9" t="s">
        <v>283</v>
      </c>
      <c r="B198" s="10">
        <v>50</v>
      </c>
      <c r="C198" s="11">
        <v>39190</v>
      </c>
      <c r="D198" s="11">
        <v>20927</v>
      </c>
      <c r="E198" s="10">
        <v>594</v>
      </c>
      <c r="F198" s="10">
        <v>10</v>
      </c>
      <c r="G198" s="9" t="s">
        <v>82</v>
      </c>
      <c r="H198" s="9" t="s">
        <v>86</v>
      </c>
      <c r="I198" s="9" t="s">
        <v>78</v>
      </c>
      <c r="J198" s="9" t="s">
        <v>84</v>
      </c>
      <c r="K198" s="10">
        <v>120</v>
      </c>
      <c r="L198" s="12">
        <v>0.13500000000000001</v>
      </c>
      <c r="M198" s="13">
        <v>0.53398826231181395</v>
      </c>
      <c r="N198" s="14" t="s">
        <v>80</v>
      </c>
    </row>
    <row r="199" spans="1:14" x14ac:dyDescent="0.3">
      <c r="A199" s="15" t="s">
        <v>284</v>
      </c>
      <c r="B199" s="16">
        <v>18</v>
      </c>
      <c r="C199" s="17">
        <v>49488</v>
      </c>
      <c r="D199" s="17">
        <v>21829</v>
      </c>
      <c r="E199" s="16">
        <v>411</v>
      </c>
      <c r="F199" s="16">
        <v>1</v>
      </c>
      <c r="G199" s="15" t="s">
        <v>82</v>
      </c>
      <c r="H199" s="15" t="s">
        <v>86</v>
      </c>
      <c r="I199" s="15" t="s">
        <v>78</v>
      </c>
      <c r="J199" s="15" t="s">
        <v>95</v>
      </c>
      <c r="K199" s="16">
        <v>36</v>
      </c>
      <c r="L199" s="18">
        <v>0.17499999999999999</v>
      </c>
      <c r="M199" s="19">
        <v>0.44109683155512502</v>
      </c>
      <c r="N199" s="20" t="s">
        <v>80</v>
      </c>
    </row>
    <row r="200" spans="1:14" x14ac:dyDescent="0.3">
      <c r="A200" s="9" t="s">
        <v>285</v>
      </c>
      <c r="B200" s="10">
        <v>44</v>
      </c>
      <c r="C200" s="11">
        <v>49488</v>
      </c>
      <c r="D200" s="11">
        <v>18002</v>
      </c>
      <c r="E200" s="10">
        <v>387</v>
      </c>
      <c r="F200" s="10">
        <v>4</v>
      </c>
      <c r="G200" s="9" t="s">
        <v>82</v>
      </c>
      <c r="H200" s="9" t="s">
        <v>86</v>
      </c>
      <c r="I200" s="9" t="s">
        <v>90</v>
      </c>
      <c r="J200" s="9" t="s">
        <v>95</v>
      </c>
      <c r="K200" s="10">
        <v>36</v>
      </c>
      <c r="L200" s="12">
        <v>0.17499999999999999</v>
      </c>
      <c r="M200" s="13">
        <v>0.363764953119948</v>
      </c>
      <c r="N200" s="14" t="s">
        <v>80</v>
      </c>
    </row>
    <row r="201" spans="1:14" x14ac:dyDescent="0.3">
      <c r="A201" s="15" t="s">
        <v>286</v>
      </c>
      <c r="B201" s="16">
        <v>69</v>
      </c>
      <c r="C201" s="17">
        <v>48232</v>
      </c>
      <c r="D201" s="17">
        <v>9306</v>
      </c>
      <c r="E201" s="16">
        <v>775</v>
      </c>
      <c r="F201" s="16">
        <v>21</v>
      </c>
      <c r="G201" s="15" t="s">
        <v>82</v>
      </c>
      <c r="H201" s="15" t="s">
        <v>77</v>
      </c>
      <c r="I201" s="15" t="s">
        <v>78</v>
      </c>
      <c r="J201" s="15" t="s">
        <v>84</v>
      </c>
      <c r="K201" s="16">
        <v>84</v>
      </c>
      <c r="L201" s="18">
        <v>7.4999999999999997E-2</v>
      </c>
      <c r="M201" s="19">
        <v>0.19294244484989201</v>
      </c>
      <c r="N201" s="7" t="s">
        <v>87</v>
      </c>
    </row>
    <row r="202" spans="1:14" x14ac:dyDescent="0.3">
      <c r="A202" s="9" t="s">
        <v>287</v>
      </c>
      <c r="B202" s="10">
        <v>30</v>
      </c>
      <c r="C202" s="11">
        <v>55340</v>
      </c>
      <c r="D202" s="11">
        <v>18605</v>
      </c>
      <c r="E202" s="10">
        <v>603</v>
      </c>
      <c r="F202" s="10">
        <v>12</v>
      </c>
      <c r="G202" s="9" t="s">
        <v>76</v>
      </c>
      <c r="H202" s="9" t="s">
        <v>86</v>
      </c>
      <c r="I202" s="9" t="s">
        <v>83</v>
      </c>
      <c r="J202" s="9" t="s">
        <v>79</v>
      </c>
      <c r="K202" s="10">
        <v>48</v>
      </c>
      <c r="L202" s="12">
        <v>0.13500000000000001</v>
      </c>
      <c r="M202" s="13">
        <v>0.33619443440549301</v>
      </c>
      <c r="N202" s="14" t="s">
        <v>80</v>
      </c>
    </row>
    <row r="203" spans="1:14" x14ac:dyDescent="0.3">
      <c r="A203" s="15" t="s">
        <v>288</v>
      </c>
      <c r="B203" s="16">
        <v>58</v>
      </c>
      <c r="C203" s="17">
        <v>49488</v>
      </c>
      <c r="D203" s="17">
        <v>14583</v>
      </c>
      <c r="E203" s="16">
        <v>604</v>
      </c>
      <c r="F203" s="16">
        <v>22</v>
      </c>
      <c r="G203" s="15" t="s">
        <v>82</v>
      </c>
      <c r="H203" s="15" t="s">
        <v>77</v>
      </c>
      <c r="I203" s="15" t="s">
        <v>92</v>
      </c>
      <c r="J203" s="15" t="s">
        <v>79</v>
      </c>
      <c r="K203" s="16">
        <v>24</v>
      </c>
      <c r="L203" s="18">
        <v>0.13500000000000001</v>
      </c>
      <c r="M203" s="19">
        <v>0.29467749757516998</v>
      </c>
      <c r="N203" s="20" t="s">
        <v>80</v>
      </c>
    </row>
    <row r="204" spans="1:14" x14ac:dyDescent="0.3">
      <c r="A204" s="9" t="s">
        <v>289</v>
      </c>
      <c r="B204" s="10">
        <v>20</v>
      </c>
      <c r="C204" s="11">
        <v>58121</v>
      </c>
      <c r="D204" s="11">
        <v>14609</v>
      </c>
      <c r="E204" s="10">
        <v>589</v>
      </c>
      <c r="F204" s="10">
        <v>30</v>
      </c>
      <c r="G204" s="9" t="s">
        <v>76</v>
      </c>
      <c r="H204" s="9" t="s">
        <v>94</v>
      </c>
      <c r="I204" s="9" t="s">
        <v>92</v>
      </c>
      <c r="J204" s="9" t="s">
        <v>84</v>
      </c>
      <c r="K204" s="10">
        <v>24</v>
      </c>
      <c r="L204" s="12">
        <v>0.13500000000000001</v>
      </c>
      <c r="M204" s="13">
        <v>0.25135493195230602</v>
      </c>
      <c r="N204" s="14" t="s">
        <v>80</v>
      </c>
    </row>
    <row r="205" spans="1:14" x14ac:dyDescent="0.3">
      <c r="A205" s="15" t="s">
        <v>290</v>
      </c>
      <c r="B205" s="16">
        <v>56</v>
      </c>
      <c r="C205" s="17">
        <v>71626</v>
      </c>
      <c r="D205" s="17">
        <v>31471</v>
      </c>
      <c r="E205" s="16">
        <v>507</v>
      </c>
      <c r="F205" s="16">
        <v>34</v>
      </c>
      <c r="G205" s="15" t="s">
        <v>76</v>
      </c>
      <c r="H205" s="15" t="s">
        <v>99</v>
      </c>
      <c r="I205" s="15" t="s">
        <v>83</v>
      </c>
      <c r="J205" s="15" t="s">
        <v>84</v>
      </c>
      <c r="K205" s="16">
        <v>60</v>
      </c>
      <c r="L205" s="18">
        <v>0.17499999999999999</v>
      </c>
      <c r="M205" s="19">
        <v>0.43937955491022801</v>
      </c>
      <c r="N205" s="20" t="s">
        <v>80</v>
      </c>
    </row>
    <row r="206" spans="1:14" ht="26.4" x14ac:dyDescent="0.3">
      <c r="A206" s="21" t="s">
        <v>291</v>
      </c>
      <c r="B206" s="22"/>
      <c r="C206" s="23">
        <f>SUM(C6:C205)</f>
        <v>10021211</v>
      </c>
      <c r="D206" s="23">
        <f>SUM(D6:D205)</f>
        <v>3750559</v>
      </c>
      <c r="E206" s="24">
        <f>AVERAGE(E6:E205)</f>
        <v>577.255</v>
      </c>
      <c r="F206" s="22"/>
      <c r="G206" s="22"/>
      <c r="H206" s="22"/>
      <c r="I206" s="22"/>
      <c r="J206" s="22"/>
      <c r="K206" s="22"/>
      <c r="L206" s="25">
        <f>AVERAGE(L6:L205)</f>
        <v>0.1361000000000003</v>
      </c>
      <c r="M206" s="26">
        <f>AVERAGE(M6:M205)</f>
        <v>0.42386302332092363</v>
      </c>
      <c r="N206" s="22"/>
    </row>
  </sheetData>
  <mergeCells count="2">
    <mergeCell ref="A2:N2"/>
    <mergeCell ref="A3:N3"/>
  </mergeCells>
  <pageMargins left="0.75" right="0.75" top="1" bottom="1" header="0.511811023622047" footer="0.511811023622047"/>
  <pageSetup paperSize="9" scale="71" fitToHeight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80"/>
  <sheetViews>
    <sheetView showGridLines="0" zoomScaleNormal="100" workbookViewId="0">
      <pane ySplit="5" topLeftCell="A24" activePane="bottomLeft" state="frozen"/>
      <selection pane="bottomLeft" activeCell="A2" sqref="A2:O37"/>
    </sheetView>
  </sheetViews>
  <sheetFormatPr defaultColWidth="8.6640625" defaultRowHeight="14.4" x14ac:dyDescent="0.3"/>
  <cols>
    <col min="1" max="1" width="16.6640625" customWidth="1"/>
    <col min="2" max="2" width="15.44140625" customWidth="1"/>
    <col min="3" max="3" width="13" customWidth="1"/>
    <col min="4" max="4" width="17.5546875" customWidth="1"/>
    <col min="5" max="5" width="17.6640625" customWidth="1"/>
    <col min="6" max="6" width="12.21875" customWidth="1"/>
    <col min="7" max="7" width="9" customWidth="1"/>
    <col min="8" max="8" width="12" customWidth="1"/>
    <col min="9" max="10" width="14" customWidth="1"/>
    <col min="11" max="12" width="10" customWidth="1"/>
    <col min="13" max="13" width="9" customWidth="1"/>
    <col min="14" max="15" width="10" customWidth="1"/>
  </cols>
  <sheetData>
    <row r="1" spans="1:14" ht="9.75" customHeight="1" x14ac:dyDescent="0.3"/>
    <row r="2" spans="1:14" ht="36" customHeight="1" x14ac:dyDescent="0.3">
      <c r="A2" s="102" t="s">
        <v>292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</row>
    <row r="3" spans="1:14" ht="19.5" customHeight="1" x14ac:dyDescent="0.3">
      <c r="A3" s="103" t="s">
        <v>293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</row>
    <row r="4" spans="1:14" ht="7.5" customHeight="1" x14ac:dyDescent="0.3"/>
    <row r="5" spans="1:14" ht="15" customHeight="1" x14ac:dyDescent="0.3">
      <c r="A5" s="107" t="s">
        <v>294</v>
      </c>
      <c r="B5" s="107"/>
      <c r="C5" s="107"/>
      <c r="D5" s="107"/>
      <c r="E5" s="107"/>
      <c r="F5" s="107"/>
    </row>
    <row r="6" spans="1:14" ht="18" customHeight="1" x14ac:dyDescent="0.3">
      <c r="A6" s="27" t="s">
        <v>295</v>
      </c>
      <c r="B6" s="27" t="s">
        <v>296</v>
      </c>
      <c r="C6" s="27" t="s">
        <v>297</v>
      </c>
      <c r="D6" s="27" t="s">
        <v>298</v>
      </c>
      <c r="E6" s="27" t="s">
        <v>299</v>
      </c>
      <c r="F6" s="27" t="s">
        <v>7</v>
      </c>
    </row>
    <row r="7" spans="1:14" ht="26.4" x14ac:dyDescent="0.3">
      <c r="A7" s="9" t="s">
        <v>300</v>
      </c>
      <c r="B7" s="10">
        <v>5000</v>
      </c>
      <c r="C7" s="10">
        <v>196</v>
      </c>
      <c r="D7" s="12">
        <f t="shared" ref="D7:D12" si="0">C7/B7</f>
        <v>3.9199999999999999E-2</v>
      </c>
      <c r="E7" s="9" t="s">
        <v>301</v>
      </c>
      <c r="F7" s="4" t="s">
        <v>302</v>
      </c>
    </row>
    <row r="8" spans="1:14" ht="26.4" x14ac:dyDescent="0.3">
      <c r="A8" s="15" t="s">
        <v>303</v>
      </c>
      <c r="B8" s="16">
        <v>5000</v>
      </c>
      <c r="C8" s="16">
        <v>194</v>
      </c>
      <c r="D8" s="18">
        <f t="shared" si="0"/>
        <v>3.8800000000000001E-2</v>
      </c>
      <c r="E8" s="15" t="s">
        <v>301</v>
      </c>
      <c r="F8" s="7" t="s">
        <v>302</v>
      </c>
    </row>
    <row r="9" spans="1:14" ht="26.4" x14ac:dyDescent="0.3">
      <c r="A9" s="9" t="s">
        <v>68</v>
      </c>
      <c r="B9" s="10">
        <v>5000</v>
      </c>
      <c r="C9" s="10">
        <v>198</v>
      </c>
      <c r="D9" s="12">
        <f t="shared" si="0"/>
        <v>3.9600000000000003E-2</v>
      </c>
      <c r="E9" s="9" t="s">
        <v>304</v>
      </c>
      <c r="F9" s="4" t="s">
        <v>302</v>
      </c>
    </row>
    <row r="10" spans="1:14" ht="26.4" x14ac:dyDescent="0.3">
      <c r="A10" s="15" t="s">
        <v>305</v>
      </c>
      <c r="B10" s="16">
        <v>5000</v>
      </c>
      <c r="C10" s="16">
        <f>COUNTIF('1. Raw Loan Data'!C6:C5005,"&lt;0")</f>
        <v>0</v>
      </c>
      <c r="D10" s="18">
        <f t="shared" si="0"/>
        <v>0</v>
      </c>
      <c r="E10" s="15" t="s">
        <v>306</v>
      </c>
      <c r="F10" s="7" t="s">
        <v>302</v>
      </c>
    </row>
    <row r="11" spans="1:14" ht="39.6" x14ac:dyDescent="0.3">
      <c r="A11" s="9" t="s">
        <v>307</v>
      </c>
      <c r="B11" s="10">
        <v>5000</v>
      </c>
      <c r="C11" s="10">
        <v>0</v>
      </c>
      <c r="D11" s="12">
        <f t="shared" si="0"/>
        <v>0</v>
      </c>
      <c r="E11" s="9" t="s">
        <v>308</v>
      </c>
      <c r="F11" s="4" t="s">
        <v>302</v>
      </c>
    </row>
    <row r="12" spans="1:14" ht="39.6" x14ac:dyDescent="0.3">
      <c r="A12" s="15" t="s">
        <v>67</v>
      </c>
      <c r="B12" s="16">
        <v>5000</v>
      </c>
      <c r="C12" s="16">
        <v>0</v>
      </c>
      <c r="D12" s="18">
        <f t="shared" si="0"/>
        <v>0</v>
      </c>
      <c r="E12" s="15" t="s">
        <v>309</v>
      </c>
      <c r="F12" s="7" t="s">
        <v>302</v>
      </c>
    </row>
    <row r="15" spans="1:14" ht="15" customHeight="1" x14ac:dyDescent="0.3">
      <c r="A15" s="104" t="s">
        <v>310</v>
      </c>
      <c r="B15" s="104"/>
      <c r="C15" s="104"/>
      <c r="D15" s="104"/>
      <c r="E15" s="104"/>
      <c r="F15" s="104"/>
    </row>
    <row r="16" spans="1:14" ht="21.75" customHeight="1" x14ac:dyDescent="0.3">
      <c r="A16" s="27" t="s">
        <v>295</v>
      </c>
      <c r="B16" s="27" t="s">
        <v>311</v>
      </c>
      <c r="C16" s="27" t="s">
        <v>312</v>
      </c>
      <c r="D16" s="27" t="s">
        <v>313</v>
      </c>
      <c r="E16" s="27" t="s">
        <v>314</v>
      </c>
      <c r="F16" s="27" t="s">
        <v>315</v>
      </c>
    </row>
    <row r="17" spans="1:15" ht="26.4" x14ac:dyDescent="0.3">
      <c r="A17" s="9" t="s">
        <v>316</v>
      </c>
      <c r="B17" s="9" t="s">
        <v>317</v>
      </c>
      <c r="C17" s="9" t="s">
        <v>80</v>
      </c>
      <c r="D17" s="9" t="s">
        <v>318</v>
      </c>
      <c r="E17" s="9" t="s">
        <v>319</v>
      </c>
      <c r="F17" s="9" t="s">
        <v>320</v>
      </c>
    </row>
    <row r="18" spans="1:15" ht="26.4" x14ac:dyDescent="0.3">
      <c r="A18" s="15" t="s">
        <v>316</v>
      </c>
      <c r="B18" s="15" t="s">
        <v>321</v>
      </c>
      <c r="C18" s="15" t="s">
        <v>87</v>
      </c>
      <c r="D18" s="15" t="s">
        <v>322</v>
      </c>
      <c r="E18" s="15" t="s">
        <v>319</v>
      </c>
      <c r="F18" s="15" t="s">
        <v>320</v>
      </c>
    </row>
    <row r="19" spans="1:15" x14ac:dyDescent="0.3">
      <c r="A19" s="9" t="s">
        <v>323</v>
      </c>
      <c r="B19" s="9" t="s">
        <v>95</v>
      </c>
      <c r="C19" s="9" t="s">
        <v>321</v>
      </c>
      <c r="D19" s="9" t="s">
        <v>324</v>
      </c>
      <c r="E19" s="9" t="s">
        <v>325</v>
      </c>
      <c r="F19" s="9" t="s">
        <v>326</v>
      </c>
    </row>
    <row r="20" spans="1:15" ht="26.4" x14ac:dyDescent="0.3">
      <c r="A20" s="15" t="s">
        <v>323</v>
      </c>
      <c r="B20" s="15" t="s">
        <v>84</v>
      </c>
      <c r="C20" s="15" t="s">
        <v>327</v>
      </c>
      <c r="D20" s="15" t="s">
        <v>328</v>
      </c>
      <c r="E20" s="15" t="s">
        <v>325</v>
      </c>
      <c r="F20" s="15" t="s">
        <v>326</v>
      </c>
    </row>
    <row r="21" spans="1:15" ht="26.4" x14ac:dyDescent="0.3">
      <c r="A21" s="9" t="s">
        <v>323</v>
      </c>
      <c r="B21" s="9" t="s">
        <v>79</v>
      </c>
      <c r="C21" s="9" t="s">
        <v>329</v>
      </c>
      <c r="D21" s="9" t="s">
        <v>330</v>
      </c>
      <c r="E21" s="9" t="s">
        <v>325</v>
      </c>
      <c r="F21" s="9" t="s">
        <v>331</v>
      </c>
    </row>
    <row r="22" spans="1:15" ht="26.4" x14ac:dyDescent="0.3">
      <c r="A22" s="15" t="s">
        <v>68</v>
      </c>
      <c r="B22" s="15" t="s">
        <v>332</v>
      </c>
      <c r="C22" s="15" t="s">
        <v>321</v>
      </c>
      <c r="D22" s="15" t="s">
        <v>333</v>
      </c>
      <c r="E22" s="15" t="s">
        <v>325</v>
      </c>
      <c r="F22" s="15" t="s">
        <v>334</v>
      </c>
    </row>
    <row r="23" spans="1:15" x14ac:dyDescent="0.3">
      <c r="A23" s="9" t="s">
        <v>67</v>
      </c>
      <c r="B23" s="9" t="s">
        <v>335</v>
      </c>
      <c r="C23" s="9" t="s">
        <v>336</v>
      </c>
      <c r="D23" s="9" t="s">
        <v>337</v>
      </c>
      <c r="E23" s="9" t="s">
        <v>338</v>
      </c>
      <c r="F23" s="9" t="s">
        <v>339</v>
      </c>
    </row>
    <row r="24" spans="1:15" ht="39.6" x14ac:dyDescent="0.3">
      <c r="A24" s="15" t="s">
        <v>340</v>
      </c>
      <c r="B24" s="15" t="s">
        <v>341</v>
      </c>
      <c r="C24" s="15" t="s">
        <v>342</v>
      </c>
      <c r="D24" s="15" t="s">
        <v>343</v>
      </c>
      <c r="E24" s="15" t="s">
        <v>344</v>
      </c>
      <c r="F24" s="15" t="s">
        <v>345</v>
      </c>
    </row>
    <row r="25" spans="1:15" ht="26.4" x14ac:dyDescent="0.3">
      <c r="A25" s="9" t="s">
        <v>346</v>
      </c>
      <c r="B25" s="9" t="s">
        <v>344</v>
      </c>
      <c r="C25" s="9" t="s">
        <v>347</v>
      </c>
      <c r="D25" s="9" t="s">
        <v>348</v>
      </c>
      <c r="E25" s="9" t="s">
        <v>349</v>
      </c>
      <c r="F25" s="9" t="s">
        <v>350</v>
      </c>
    </row>
    <row r="26" spans="1:15" ht="26.4" x14ac:dyDescent="0.3">
      <c r="A26" s="15" t="s">
        <v>351</v>
      </c>
      <c r="B26" s="15" t="s">
        <v>352</v>
      </c>
      <c r="C26" s="15" t="s">
        <v>353</v>
      </c>
      <c r="D26" s="15" t="s">
        <v>354</v>
      </c>
      <c r="E26" s="15" t="s">
        <v>355</v>
      </c>
      <c r="F26" s="15" t="s">
        <v>356</v>
      </c>
    </row>
    <row r="29" spans="1:15" ht="15" customHeight="1" x14ac:dyDescent="0.3">
      <c r="A29" s="104" t="s">
        <v>357</v>
      </c>
      <c r="B29" s="104"/>
      <c r="C29" s="104"/>
      <c r="D29" s="104"/>
      <c r="E29" s="104"/>
      <c r="F29" s="104"/>
      <c r="G29" s="104"/>
      <c r="H29" s="104"/>
      <c r="I29" s="104"/>
      <c r="J29" s="104"/>
      <c r="K29" s="104"/>
      <c r="L29" s="104"/>
      <c r="M29" s="104"/>
      <c r="N29" s="104"/>
    </row>
    <row r="30" spans="1:15" ht="21.75" customHeight="1" x14ac:dyDescent="0.3">
      <c r="A30" s="27" t="s">
        <v>61</v>
      </c>
      <c r="B30" s="27" t="s">
        <v>62</v>
      </c>
      <c r="C30" s="27" t="s">
        <v>63</v>
      </c>
      <c r="D30" s="27" t="s">
        <v>64</v>
      </c>
      <c r="E30" s="27" t="s">
        <v>65</v>
      </c>
      <c r="F30" s="27" t="s">
        <v>358</v>
      </c>
      <c r="G30" s="27" t="s">
        <v>67</v>
      </c>
      <c r="H30" s="27" t="s">
        <v>68</v>
      </c>
      <c r="I30" s="27" t="s">
        <v>69</v>
      </c>
      <c r="J30" s="27" t="s">
        <v>359</v>
      </c>
      <c r="K30" s="27" t="s">
        <v>351</v>
      </c>
      <c r="L30" s="27" t="s">
        <v>360</v>
      </c>
      <c r="M30" s="27" t="s">
        <v>361</v>
      </c>
      <c r="N30" s="27" t="s">
        <v>7</v>
      </c>
      <c r="O30" s="27" t="s">
        <v>362</v>
      </c>
    </row>
    <row r="31" spans="1:15" x14ac:dyDescent="0.3">
      <c r="A31" s="9" t="s">
        <v>75</v>
      </c>
      <c r="B31" s="10">
        <v>56</v>
      </c>
      <c r="C31" s="11">
        <v>48353</v>
      </c>
      <c r="D31" s="11">
        <v>31258</v>
      </c>
      <c r="E31" s="28">
        <v>675</v>
      </c>
      <c r="F31" s="10">
        <v>20</v>
      </c>
      <c r="G31" s="9" t="s">
        <v>76</v>
      </c>
      <c r="H31" s="9" t="s">
        <v>77</v>
      </c>
      <c r="I31" s="9" t="s">
        <v>78</v>
      </c>
      <c r="J31" s="9" t="s">
        <v>79</v>
      </c>
      <c r="K31" s="10">
        <v>120</v>
      </c>
      <c r="L31" s="12">
        <v>0.105</v>
      </c>
      <c r="M31" s="13">
        <v>0.64645420139391596</v>
      </c>
      <c r="N31" s="9" t="s">
        <v>80</v>
      </c>
      <c r="O31" s="10">
        <v>3</v>
      </c>
    </row>
    <row r="32" spans="1:15" x14ac:dyDescent="0.3">
      <c r="A32" s="15" t="s">
        <v>81</v>
      </c>
      <c r="B32" s="16">
        <v>69</v>
      </c>
      <c r="C32" s="17">
        <v>57462</v>
      </c>
      <c r="D32" s="17">
        <v>23262</v>
      </c>
      <c r="E32" s="29">
        <v>586</v>
      </c>
      <c r="F32" s="16">
        <v>6</v>
      </c>
      <c r="G32" s="15" t="s">
        <v>82</v>
      </c>
      <c r="H32" s="15" t="s">
        <v>77</v>
      </c>
      <c r="I32" s="15" t="s">
        <v>83</v>
      </c>
      <c r="J32" s="15" t="s">
        <v>84</v>
      </c>
      <c r="K32" s="16">
        <v>48</v>
      </c>
      <c r="L32" s="18">
        <v>0.13500000000000001</v>
      </c>
      <c r="M32" s="19">
        <v>0.40482405763809098</v>
      </c>
      <c r="N32" s="15" t="s">
        <v>80</v>
      </c>
      <c r="O32" s="16">
        <v>2</v>
      </c>
    </row>
    <row r="33" spans="1:15" x14ac:dyDescent="0.3">
      <c r="A33" s="9" t="s">
        <v>85</v>
      </c>
      <c r="B33" s="10">
        <v>46</v>
      </c>
      <c r="C33" s="11">
        <v>44219</v>
      </c>
      <c r="D33" s="11">
        <v>26530</v>
      </c>
      <c r="E33" s="28">
        <v>781</v>
      </c>
      <c r="F33" s="10">
        <v>26</v>
      </c>
      <c r="G33" s="9" t="s">
        <v>82</v>
      </c>
      <c r="H33" s="9" t="s">
        <v>86</v>
      </c>
      <c r="I33" s="9" t="s">
        <v>78</v>
      </c>
      <c r="J33" s="9" t="s">
        <v>84</v>
      </c>
      <c r="K33" s="10">
        <v>60</v>
      </c>
      <c r="L33" s="12">
        <v>7.4999999999999997E-2</v>
      </c>
      <c r="M33" s="13">
        <v>0.59996833940161498</v>
      </c>
      <c r="N33" s="9" t="s">
        <v>87</v>
      </c>
      <c r="O33" s="10">
        <v>2</v>
      </c>
    </row>
    <row r="34" spans="1:15" x14ac:dyDescent="0.3">
      <c r="A34" s="15" t="s">
        <v>88</v>
      </c>
      <c r="B34" s="16">
        <v>32</v>
      </c>
      <c r="C34" s="17">
        <v>56307</v>
      </c>
      <c r="D34" s="17">
        <v>11531</v>
      </c>
      <c r="E34" s="29">
        <v>549</v>
      </c>
      <c r="F34" s="16">
        <v>11</v>
      </c>
      <c r="G34" s="15" t="s">
        <v>82</v>
      </c>
      <c r="H34" s="15" t="s">
        <v>89</v>
      </c>
      <c r="I34" s="15" t="s">
        <v>90</v>
      </c>
      <c r="J34" s="15" t="s">
        <v>79</v>
      </c>
      <c r="K34" s="16">
        <v>120</v>
      </c>
      <c r="L34" s="18">
        <v>0.17499999999999999</v>
      </c>
      <c r="M34" s="19">
        <v>0.20478803701138401</v>
      </c>
      <c r="N34" s="15" t="s">
        <v>80</v>
      </c>
      <c r="O34" s="16">
        <v>3</v>
      </c>
    </row>
    <row r="35" spans="1:15" x14ac:dyDescent="0.3">
      <c r="A35" s="9" t="s">
        <v>91</v>
      </c>
      <c r="B35" s="10">
        <v>60</v>
      </c>
      <c r="C35" s="11">
        <v>37034</v>
      </c>
      <c r="D35" s="11">
        <v>27871</v>
      </c>
      <c r="E35" s="28">
        <v>500</v>
      </c>
      <c r="F35" s="10">
        <v>19</v>
      </c>
      <c r="G35" s="9" t="s">
        <v>76</v>
      </c>
      <c r="H35" s="9" t="s">
        <v>77</v>
      </c>
      <c r="I35" s="9" t="s">
        <v>92</v>
      </c>
      <c r="J35" s="9" t="s">
        <v>79</v>
      </c>
      <c r="K35" s="10">
        <v>36</v>
      </c>
      <c r="L35" s="12">
        <v>0.17499999999999999</v>
      </c>
      <c r="M35" s="13">
        <v>0.75257871145433897</v>
      </c>
      <c r="N35" s="9" t="s">
        <v>80</v>
      </c>
      <c r="O35" s="10">
        <v>3</v>
      </c>
    </row>
    <row r="36" spans="1:15" x14ac:dyDescent="0.3">
      <c r="A36" s="15" t="s">
        <v>93</v>
      </c>
      <c r="B36" s="16">
        <v>25</v>
      </c>
      <c r="C36" s="17">
        <v>47886</v>
      </c>
      <c r="D36" s="17">
        <v>18106</v>
      </c>
      <c r="E36" s="29">
        <v>835</v>
      </c>
      <c r="F36" s="16">
        <v>13</v>
      </c>
      <c r="G36" s="15" t="s">
        <v>82</v>
      </c>
      <c r="H36" s="15" t="s">
        <v>94</v>
      </c>
      <c r="I36" s="15" t="s">
        <v>90</v>
      </c>
      <c r="J36" s="15" t="s">
        <v>95</v>
      </c>
      <c r="K36" s="16">
        <v>60</v>
      </c>
      <c r="L36" s="18">
        <v>7.4999999999999997E-2</v>
      </c>
      <c r="M36" s="19">
        <v>0.37810633588105103</v>
      </c>
      <c r="N36" s="15" t="s">
        <v>87</v>
      </c>
      <c r="O36" s="16">
        <v>1</v>
      </c>
    </row>
    <row r="37" spans="1:15" x14ac:dyDescent="0.3">
      <c r="A37" s="9" t="s">
        <v>96</v>
      </c>
      <c r="B37" s="10">
        <v>38</v>
      </c>
      <c r="C37" s="11">
        <v>54748</v>
      </c>
      <c r="D37" s="11">
        <v>25374</v>
      </c>
      <c r="E37" s="28">
        <v>760</v>
      </c>
      <c r="F37" s="10">
        <v>9</v>
      </c>
      <c r="G37" s="9" t="s">
        <v>76</v>
      </c>
      <c r="H37" s="9" t="s">
        <v>77</v>
      </c>
      <c r="I37" s="9" t="s">
        <v>90</v>
      </c>
      <c r="J37" s="9" t="s">
        <v>84</v>
      </c>
      <c r="K37" s="10">
        <v>60</v>
      </c>
      <c r="L37" s="12">
        <v>7.4999999999999997E-2</v>
      </c>
      <c r="M37" s="13">
        <v>0.46346898516840801</v>
      </c>
      <c r="N37" s="9" t="s">
        <v>87</v>
      </c>
      <c r="O37" s="10">
        <v>2</v>
      </c>
    </row>
    <row r="38" spans="1:15" x14ac:dyDescent="0.3">
      <c r="A38" s="15" t="s">
        <v>97</v>
      </c>
      <c r="B38" s="16">
        <v>56</v>
      </c>
      <c r="C38" s="17">
        <v>49488</v>
      </c>
      <c r="D38" s="17">
        <v>6279</v>
      </c>
      <c r="E38" s="29">
        <v>599</v>
      </c>
      <c r="F38" s="16">
        <v>22</v>
      </c>
      <c r="G38" s="15" t="s">
        <v>82</v>
      </c>
      <c r="H38" s="15" t="s">
        <v>86</v>
      </c>
      <c r="I38" s="15" t="s">
        <v>90</v>
      </c>
      <c r="J38" s="15" t="s">
        <v>79</v>
      </c>
      <c r="K38" s="16">
        <v>120</v>
      </c>
      <c r="L38" s="18">
        <v>0.13500000000000001</v>
      </c>
      <c r="M38" s="19">
        <v>0.12687924345295801</v>
      </c>
      <c r="N38" s="15" t="s">
        <v>80</v>
      </c>
      <c r="O38" s="16">
        <v>3</v>
      </c>
    </row>
    <row r="39" spans="1:15" x14ac:dyDescent="0.3">
      <c r="A39" s="9" t="s">
        <v>98</v>
      </c>
      <c r="B39" s="10">
        <v>36</v>
      </c>
      <c r="C39" s="11">
        <v>25918</v>
      </c>
      <c r="D39" s="11">
        <v>25041</v>
      </c>
      <c r="E39" s="28">
        <v>777</v>
      </c>
      <c r="F39" s="10">
        <v>29</v>
      </c>
      <c r="G39" s="9" t="s">
        <v>76</v>
      </c>
      <c r="H39" s="9" t="s">
        <v>99</v>
      </c>
      <c r="I39" s="9" t="s">
        <v>83</v>
      </c>
      <c r="J39" s="9" t="s">
        <v>79</v>
      </c>
      <c r="K39" s="10">
        <v>24</v>
      </c>
      <c r="L39" s="12">
        <v>7.4999999999999997E-2</v>
      </c>
      <c r="M39" s="13">
        <v>0.96616251253954799</v>
      </c>
      <c r="N39" s="9" t="s">
        <v>80</v>
      </c>
      <c r="O39" s="10">
        <v>3</v>
      </c>
    </row>
    <row r="40" spans="1:15" x14ac:dyDescent="0.3">
      <c r="A40" s="15" t="s">
        <v>100</v>
      </c>
      <c r="B40" s="16">
        <v>40</v>
      </c>
      <c r="C40" s="17">
        <v>43415</v>
      </c>
      <c r="D40" s="17">
        <v>2065</v>
      </c>
      <c r="E40" s="29">
        <v>382</v>
      </c>
      <c r="F40" s="16">
        <v>30</v>
      </c>
      <c r="G40" s="15" t="s">
        <v>76</v>
      </c>
      <c r="H40" s="15" t="s">
        <v>77</v>
      </c>
      <c r="I40" s="15" t="s">
        <v>83</v>
      </c>
      <c r="J40" s="15" t="s">
        <v>84</v>
      </c>
      <c r="K40" s="16">
        <v>36</v>
      </c>
      <c r="L40" s="18">
        <v>0.17499999999999999</v>
      </c>
      <c r="M40" s="19">
        <v>4.7564205919613002E-2</v>
      </c>
      <c r="N40" s="15" t="s">
        <v>80</v>
      </c>
      <c r="O40" s="16">
        <v>2</v>
      </c>
    </row>
    <row r="41" spans="1:15" x14ac:dyDescent="0.3">
      <c r="A41" s="9" t="s">
        <v>101</v>
      </c>
      <c r="B41" s="10">
        <v>28</v>
      </c>
      <c r="C41" s="11">
        <v>75162</v>
      </c>
      <c r="D41" s="11">
        <v>17793</v>
      </c>
      <c r="E41" s="28">
        <v>757</v>
      </c>
      <c r="F41" s="10">
        <v>9</v>
      </c>
      <c r="G41" s="9" t="s">
        <v>76</v>
      </c>
      <c r="H41" s="9" t="s">
        <v>86</v>
      </c>
      <c r="I41" s="9" t="s">
        <v>90</v>
      </c>
      <c r="J41" s="9" t="s">
        <v>79</v>
      </c>
      <c r="K41" s="10">
        <v>120</v>
      </c>
      <c r="L41" s="12">
        <v>7.4999999999999997E-2</v>
      </c>
      <c r="M41" s="13">
        <v>0.236728666081265</v>
      </c>
      <c r="N41" s="9" t="s">
        <v>80</v>
      </c>
      <c r="O41" s="10">
        <v>3</v>
      </c>
    </row>
    <row r="42" spans="1:15" x14ac:dyDescent="0.3">
      <c r="A42" s="15" t="s">
        <v>102</v>
      </c>
      <c r="B42" s="16">
        <v>28</v>
      </c>
      <c r="C42" s="17">
        <v>42613</v>
      </c>
      <c r="D42" s="17">
        <v>6356</v>
      </c>
      <c r="E42" s="29">
        <v>597</v>
      </c>
      <c r="F42" s="16">
        <v>18</v>
      </c>
      <c r="G42" s="15" t="s">
        <v>76</v>
      </c>
      <c r="H42" s="15" t="s">
        <v>77</v>
      </c>
      <c r="I42" s="15" t="s">
        <v>83</v>
      </c>
      <c r="J42" s="15" t="s">
        <v>84</v>
      </c>
      <c r="K42" s="16">
        <v>36</v>
      </c>
      <c r="L42" s="18">
        <v>0.13500000000000001</v>
      </c>
      <c r="M42" s="19">
        <v>0.149156360734987</v>
      </c>
      <c r="N42" s="15" t="s">
        <v>80</v>
      </c>
      <c r="O42" s="16">
        <v>2</v>
      </c>
    </row>
    <row r="43" spans="1:15" x14ac:dyDescent="0.3">
      <c r="A43" s="9" t="s">
        <v>103</v>
      </c>
      <c r="B43" s="10">
        <v>41</v>
      </c>
      <c r="C43" s="11">
        <v>50237</v>
      </c>
      <c r="D43" s="11">
        <v>25064</v>
      </c>
      <c r="E43" s="28">
        <v>663</v>
      </c>
      <c r="F43" s="10">
        <v>18</v>
      </c>
      <c r="G43" s="9" t="s">
        <v>76</v>
      </c>
      <c r="H43" s="9" t="s">
        <v>86</v>
      </c>
      <c r="I43" s="9" t="s">
        <v>78</v>
      </c>
      <c r="J43" s="9" t="s">
        <v>79</v>
      </c>
      <c r="K43" s="10">
        <v>36</v>
      </c>
      <c r="L43" s="12">
        <v>0.105</v>
      </c>
      <c r="M43" s="13">
        <v>0.49891514222584998</v>
      </c>
      <c r="N43" s="9" t="s">
        <v>80</v>
      </c>
      <c r="O43" s="10">
        <v>3</v>
      </c>
    </row>
    <row r="44" spans="1:15" x14ac:dyDescent="0.3">
      <c r="A44" s="15" t="s">
        <v>104</v>
      </c>
      <c r="B44" s="16">
        <v>53</v>
      </c>
      <c r="C44" s="17">
        <v>48699</v>
      </c>
      <c r="D44" s="17">
        <v>20554</v>
      </c>
      <c r="E44" s="29">
        <v>579</v>
      </c>
      <c r="F44" s="16">
        <v>22</v>
      </c>
      <c r="G44" s="15" t="s">
        <v>76</v>
      </c>
      <c r="H44" s="15" t="s">
        <v>89</v>
      </c>
      <c r="I44" s="15" t="s">
        <v>92</v>
      </c>
      <c r="J44" s="15" t="s">
        <v>84</v>
      </c>
      <c r="K44" s="16">
        <v>60</v>
      </c>
      <c r="L44" s="18">
        <v>0.13500000000000001</v>
      </c>
      <c r="M44" s="19">
        <v>0.422062054662313</v>
      </c>
      <c r="N44" s="15" t="s">
        <v>80</v>
      </c>
      <c r="O44" s="16">
        <v>2</v>
      </c>
    </row>
    <row r="45" spans="1:15" x14ac:dyDescent="0.3">
      <c r="A45" s="9" t="s">
        <v>105</v>
      </c>
      <c r="B45" s="10">
        <v>57</v>
      </c>
      <c r="C45" s="11">
        <v>49488</v>
      </c>
      <c r="D45" s="11">
        <v>13834</v>
      </c>
      <c r="E45" s="28">
        <v>639</v>
      </c>
      <c r="F45" s="10">
        <v>31</v>
      </c>
      <c r="G45" s="9" t="s">
        <v>82</v>
      </c>
      <c r="H45" s="9" t="s">
        <v>94</v>
      </c>
      <c r="I45" s="9" t="s">
        <v>83</v>
      </c>
      <c r="J45" s="9" t="s">
        <v>95</v>
      </c>
      <c r="K45" s="10">
        <v>48</v>
      </c>
      <c r="L45" s="12">
        <v>0.13500000000000001</v>
      </c>
      <c r="M45" s="13">
        <v>0.27954251535725799</v>
      </c>
      <c r="N45" s="9" t="s">
        <v>87</v>
      </c>
      <c r="O45" s="10">
        <v>1</v>
      </c>
    </row>
    <row r="46" spans="1:15" x14ac:dyDescent="0.3">
      <c r="A46" s="15" t="s">
        <v>106</v>
      </c>
      <c r="B46" s="16">
        <v>41</v>
      </c>
      <c r="C46" s="17">
        <v>69356</v>
      </c>
      <c r="D46" s="17">
        <v>31475</v>
      </c>
      <c r="E46" s="29">
        <v>815</v>
      </c>
      <c r="F46" s="16">
        <v>19</v>
      </c>
      <c r="G46" s="15" t="s">
        <v>76</v>
      </c>
      <c r="H46" s="15" t="s">
        <v>99</v>
      </c>
      <c r="I46" s="15" t="s">
        <v>83</v>
      </c>
      <c r="J46" s="15" t="s">
        <v>79</v>
      </c>
      <c r="K46" s="16">
        <v>36</v>
      </c>
      <c r="L46" s="18">
        <v>7.4999999999999997E-2</v>
      </c>
      <c r="M46" s="19">
        <v>0.45381798258261702</v>
      </c>
      <c r="N46" s="15" t="s">
        <v>80</v>
      </c>
      <c r="O46" s="16">
        <v>3</v>
      </c>
    </row>
    <row r="47" spans="1:15" x14ac:dyDescent="0.3">
      <c r="A47" s="9" t="s">
        <v>107</v>
      </c>
      <c r="B47" s="10">
        <v>20</v>
      </c>
      <c r="C47" s="11">
        <v>62113</v>
      </c>
      <c r="D47" s="11">
        <v>12827</v>
      </c>
      <c r="E47" s="28">
        <v>407</v>
      </c>
      <c r="F47" s="10">
        <v>3</v>
      </c>
      <c r="G47" s="9" t="s">
        <v>82</v>
      </c>
      <c r="H47" s="9" t="s">
        <v>99</v>
      </c>
      <c r="I47" s="9" t="s">
        <v>90</v>
      </c>
      <c r="J47" s="9" t="s">
        <v>79</v>
      </c>
      <c r="K47" s="10">
        <v>84</v>
      </c>
      <c r="L47" s="12">
        <v>0.17499999999999999</v>
      </c>
      <c r="M47" s="13">
        <v>0.206510714343213</v>
      </c>
      <c r="N47" s="9" t="s">
        <v>87</v>
      </c>
      <c r="O47" s="10">
        <v>3</v>
      </c>
    </row>
    <row r="48" spans="1:15" x14ac:dyDescent="0.3">
      <c r="A48" s="15" t="s">
        <v>108</v>
      </c>
      <c r="B48" s="16">
        <v>39</v>
      </c>
      <c r="C48" s="17">
        <v>35401</v>
      </c>
      <c r="D48" s="17">
        <v>-4250</v>
      </c>
      <c r="E48" s="29">
        <v>615</v>
      </c>
      <c r="F48" s="16">
        <v>32</v>
      </c>
      <c r="G48" s="15" t="s">
        <v>76</v>
      </c>
      <c r="H48" s="15" t="s">
        <v>86</v>
      </c>
      <c r="I48" s="15" t="s">
        <v>92</v>
      </c>
      <c r="J48" s="15" t="s">
        <v>79</v>
      </c>
      <c r="K48" s="16">
        <v>60</v>
      </c>
      <c r="L48" s="18">
        <v>0.13500000000000001</v>
      </c>
      <c r="M48" s="19">
        <v>-0.120053105844468</v>
      </c>
      <c r="N48" s="15" t="s">
        <v>80</v>
      </c>
      <c r="O48" s="16">
        <v>3</v>
      </c>
    </row>
    <row r="49" spans="1:15" x14ac:dyDescent="0.3">
      <c r="A49" s="9" t="s">
        <v>109</v>
      </c>
      <c r="B49" s="10">
        <v>19</v>
      </c>
      <c r="C49" s="11">
        <v>55388</v>
      </c>
      <c r="D49" s="11">
        <v>24109</v>
      </c>
      <c r="E49" s="28">
        <v>413</v>
      </c>
      <c r="F49" s="10">
        <v>0</v>
      </c>
      <c r="G49" s="9" t="s">
        <v>76</v>
      </c>
      <c r="H49" s="9" t="s">
        <v>86</v>
      </c>
      <c r="I49" s="9" t="s">
        <v>78</v>
      </c>
      <c r="J49" s="9" t="s">
        <v>95</v>
      </c>
      <c r="K49" s="10">
        <v>24</v>
      </c>
      <c r="L49" s="12">
        <v>0.17499999999999999</v>
      </c>
      <c r="M49" s="13">
        <v>0.43527478876290898</v>
      </c>
      <c r="N49" s="9" t="s">
        <v>80</v>
      </c>
      <c r="O49" s="10">
        <v>1</v>
      </c>
    </row>
    <row r="50" spans="1:15" x14ac:dyDescent="0.3">
      <c r="A50" s="15" t="s">
        <v>110</v>
      </c>
      <c r="B50" s="16">
        <v>41</v>
      </c>
      <c r="C50" s="17">
        <v>49488</v>
      </c>
      <c r="D50" s="17">
        <v>5867</v>
      </c>
      <c r="E50" s="29">
        <v>466</v>
      </c>
      <c r="F50" s="16">
        <v>12</v>
      </c>
      <c r="G50" s="15" t="s">
        <v>82</v>
      </c>
      <c r="H50" s="15" t="s">
        <v>99</v>
      </c>
      <c r="I50" s="15" t="s">
        <v>78</v>
      </c>
      <c r="J50" s="15" t="s">
        <v>79</v>
      </c>
      <c r="K50" s="16">
        <v>48</v>
      </c>
      <c r="L50" s="18">
        <v>0.17499999999999999</v>
      </c>
      <c r="M50" s="19">
        <v>0.11855399288716501</v>
      </c>
      <c r="N50" s="15" t="s">
        <v>80</v>
      </c>
      <c r="O50" s="16">
        <v>3</v>
      </c>
    </row>
    <row r="51" spans="1:15" x14ac:dyDescent="0.3">
      <c r="A51" s="9" t="s">
        <v>111</v>
      </c>
      <c r="B51" s="10">
        <v>61</v>
      </c>
      <c r="C51" s="11">
        <v>39521</v>
      </c>
      <c r="D51" s="11">
        <v>13080</v>
      </c>
      <c r="E51" s="28">
        <v>560</v>
      </c>
      <c r="F51" s="10">
        <v>2</v>
      </c>
      <c r="G51" s="9" t="s">
        <v>76</v>
      </c>
      <c r="H51" s="9" t="s">
        <v>94</v>
      </c>
      <c r="I51" s="9" t="s">
        <v>92</v>
      </c>
      <c r="J51" s="9" t="s">
        <v>79</v>
      </c>
      <c r="K51" s="10">
        <v>84</v>
      </c>
      <c r="L51" s="12">
        <v>0.13500000000000001</v>
      </c>
      <c r="M51" s="13">
        <v>0.33096328534197</v>
      </c>
      <c r="N51" s="9" t="s">
        <v>80</v>
      </c>
      <c r="O51" s="10">
        <v>3</v>
      </c>
    </row>
    <row r="52" spans="1:15" x14ac:dyDescent="0.3">
      <c r="A52" s="15" t="s">
        <v>112</v>
      </c>
      <c r="B52" s="16">
        <v>47</v>
      </c>
      <c r="C52" s="17">
        <v>36942</v>
      </c>
      <c r="D52" s="17">
        <v>15861</v>
      </c>
      <c r="E52" s="29">
        <v>523</v>
      </c>
      <c r="F52" s="16">
        <v>11</v>
      </c>
      <c r="G52" s="15" t="s">
        <v>82</v>
      </c>
      <c r="H52" s="15" t="s">
        <v>94</v>
      </c>
      <c r="I52" s="15" t="s">
        <v>78</v>
      </c>
      <c r="J52" s="15" t="s">
        <v>84</v>
      </c>
      <c r="K52" s="16">
        <v>84</v>
      </c>
      <c r="L52" s="18">
        <v>0.17499999999999999</v>
      </c>
      <c r="M52" s="19">
        <v>0.42934870878674702</v>
      </c>
      <c r="N52" s="15" t="s">
        <v>87</v>
      </c>
      <c r="O52" s="16">
        <v>2</v>
      </c>
    </row>
    <row r="53" spans="1:15" x14ac:dyDescent="0.3">
      <c r="A53" s="9" t="s">
        <v>113</v>
      </c>
      <c r="B53" s="10">
        <v>55</v>
      </c>
      <c r="C53" s="11">
        <v>75575</v>
      </c>
      <c r="D53" s="11">
        <v>8608</v>
      </c>
      <c r="E53" s="28">
        <v>561</v>
      </c>
      <c r="F53" s="10">
        <v>28</v>
      </c>
      <c r="G53" s="9" t="s">
        <v>76</v>
      </c>
      <c r="H53" s="9" t="s">
        <v>77</v>
      </c>
      <c r="I53" s="9" t="s">
        <v>92</v>
      </c>
      <c r="J53" s="9" t="s">
        <v>79</v>
      </c>
      <c r="K53" s="10">
        <v>24</v>
      </c>
      <c r="L53" s="12">
        <v>0.13500000000000001</v>
      </c>
      <c r="M53" s="13">
        <v>0.113900099239166</v>
      </c>
      <c r="N53" s="9" t="s">
        <v>80</v>
      </c>
      <c r="O53" s="10">
        <v>3</v>
      </c>
    </row>
    <row r="54" spans="1:15" x14ac:dyDescent="0.3">
      <c r="A54" s="15" t="s">
        <v>114</v>
      </c>
      <c r="B54" s="16">
        <v>19</v>
      </c>
      <c r="C54" s="17">
        <v>45488</v>
      </c>
      <c r="D54" s="17">
        <v>16050</v>
      </c>
      <c r="E54" s="29">
        <v>550</v>
      </c>
      <c r="F54" s="16">
        <v>30</v>
      </c>
      <c r="G54" s="15" t="s">
        <v>82</v>
      </c>
      <c r="H54" s="15" t="s">
        <v>94</v>
      </c>
      <c r="I54" s="15" t="s">
        <v>90</v>
      </c>
      <c r="J54" s="15" t="s">
        <v>79</v>
      </c>
      <c r="K54" s="16">
        <v>48</v>
      </c>
      <c r="L54" s="18">
        <v>0.13500000000000001</v>
      </c>
      <c r="M54" s="19">
        <v>0.35284030953218398</v>
      </c>
      <c r="N54" s="15" t="s">
        <v>80</v>
      </c>
      <c r="O54" s="16">
        <v>3</v>
      </c>
    </row>
    <row r="55" spans="1:15" x14ac:dyDescent="0.3">
      <c r="A55" s="9" t="s">
        <v>115</v>
      </c>
      <c r="B55" s="10">
        <v>38</v>
      </c>
      <c r="C55" s="11">
        <v>74225</v>
      </c>
      <c r="D55" s="11">
        <v>8758</v>
      </c>
      <c r="E55" s="28">
        <v>825</v>
      </c>
      <c r="F55" s="10">
        <v>35</v>
      </c>
      <c r="G55" s="9" t="s">
        <v>82</v>
      </c>
      <c r="H55" s="9" t="s">
        <v>99</v>
      </c>
      <c r="I55" s="9" t="s">
        <v>78</v>
      </c>
      <c r="J55" s="9" t="s">
        <v>84</v>
      </c>
      <c r="K55" s="10">
        <v>60</v>
      </c>
      <c r="L55" s="12">
        <v>7.4999999999999997E-2</v>
      </c>
      <c r="M55" s="13">
        <v>0.117992590097676</v>
      </c>
      <c r="N55" s="9" t="s">
        <v>87</v>
      </c>
      <c r="O55" s="10">
        <v>2</v>
      </c>
    </row>
    <row r="56" spans="1:15" x14ac:dyDescent="0.3">
      <c r="A56" s="15" t="s">
        <v>116</v>
      </c>
      <c r="B56" s="16">
        <v>50</v>
      </c>
      <c r="C56" s="17">
        <v>64956</v>
      </c>
      <c r="D56" s="17">
        <v>21299</v>
      </c>
      <c r="E56" s="29">
        <v>425</v>
      </c>
      <c r="F56" s="16">
        <v>1</v>
      </c>
      <c r="G56" s="15" t="s">
        <v>76</v>
      </c>
      <c r="H56" s="15" t="s">
        <v>99</v>
      </c>
      <c r="I56" s="15" t="s">
        <v>78</v>
      </c>
      <c r="J56" s="15" t="s">
        <v>95</v>
      </c>
      <c r="K56" s="16">
        <v>12</v>
      </c>
      <c r="L56" s="18">
        <v>0.17499999999999999</v>
      </c>
      <c r="M56" s="19">
        <v>0.32789888539934697</v>
      </c>
      <c r="N56" s="15" t="s">
        <v>80</v>
      </c>
      <c r="O56" s="16">
        <v>1</v>
      </c>
    </row>
    <row r="57" spans="1:15" x14ac:dyDescent="0.3">
      <c r="A57" s="9" t="s">
        <v>117</v>
      </c>
      <c r="B57" s="10">
        <v>29</v>
      </c>
      <c r="C57" s="11">
        <v>56118</v>
      </c>
      <c r="D57" s="11">
        <v>10170</v>
      </c>
      <c r="E57" s="28">
        <v>505</v>
      </c>
      <c r="F57" s="10">
        <v>21</v>
      </c>
      <c r="G57" s="9" t="s">
        <v>82</v>
      </c>
      <c r="H57" s="9" t="s">
        <v>94</v>
      </c>
      <c r="I57" s="9" t="s">
        <v>92</v>
      </c>
      <c r="J57" s="9" t="s">
        <v>95</v>
      </c>
      <c r="K57" s="10">
        <v>48</v>
      </c>
      <c r="L57" s="12">
        <v>0.17499999999999999</v>
      </c>
      <c r="M57" s="13">
        <v>0.181225275312734</v>
      </c>
      <c r="N57" s="9" t="s">
        <v>80</v>
      </c>
      <c r="O57" s="10">
        <v>1</v>
      </c>
    </row>
    <row r="58" spans="1:15" x14ac:dyDescent="0.3">
      <c r="A58" s="15" t="s">
        <v>118</v>
      </c>
      <c r="B58" s="16">
        <v>39</v>
      </c>
      <c r="C58" s="17">
        <v>56788</v>
      </c>
      <c r="D58" s="17">
        <v>20241</v>
      </c>
      <c r="E58" s="29">
        <v>439</v>
      </c>
      <c r="F58" s="16">
        <v>21</v>
      </c>
      <c r="G58" s="15" t="s">
        <v>82</v>
      </c>
      <c r="H58" s="15" t="s">
        <v>94</v>
      </c>
      <c r="I58" s="15" t="s">
        <v>78</v>
      </c>
      <c r="J58" s="15" t="s">
        <v>84</v>
      </c>
      <c r="K58" s="16">
        <v>24</v>
      </c>
      <c r="L58" s="18">
        <v>0.17499999999999999</v>
      </c>
      <c r="M58" s="19">
        <v>0.35643093611326299</v>
      </c>
      <c r="N58" s="15" t="s">
        <v>80</v>
      </c>
      <c r="O58" s="16">
        <v>2</v>
      </c>
    </row>
    <row r="59" spans="1:15" x14ac:dyDescent="0.3">
      <c r="A59" s="9" t="s">
        <v>119</v>
      </c>
      <c r="B59" s="10">
        <v>61</v>
      </c>
      <c r="C59" s="11">
        <v>28994</v>
      </c>
      <c r="D59" s="11">
        <v>29296</v>
      </c>
      <c r="E59" s="28">
        <v>361</v>
      </c>
      <c r="F59" s="10">
        <v>30</v>
      </c>
      <c r="G59" s="9" t="s">
        <v>76</v>
      </c>
      <c r="H59" s="9" t="s">
        <v>99</v>
      </c>
      <c r="I59" s="9" t="s">
        <v>83</v>
      </c>
      <c r="J59" s="9" t="s">
        <v>95</v>
      </c>
      <c r="K59" s="10">
        <v>84</v>
      </c>
      <c r="L59" s="12">
        <v>0.17499999999999999</v>
      </c>
      <c r="M59" s="13">
        <v>1.0104159481271999</v>
      </c>
      <c r="N59" s="9" t="s">
        <v>80</v>
      </c>
      <c r="O59" s="10">
        <v>1</v>
      </c>
    </row>
    <row r="60" spans="1:15" x14ac:dyDescent="0.3">
      <c r="A60" s="15" t="s">
        <v>120</v>
      </c>
      <c r="B60" s="16">
        <v>42</v>
      </c>
      <c r="C60" s="17">
        <v>53102</v>
      </c>
      <c r="D60" s="17">
        <v>26259</v>
      </c>
      <c r="E60" s="29">
        <v>582</v>
      </c>
      <c r="F60" s="16">
        <v>13</v>
      </c>
      <c r="G60" s="15" t="s">
        <v>76</v>
      </c>
      <c r="H60" s="15" t="s">
        <v>99</v>
      </c>
      <c r="I60" s="15" t="s">
        <v>90</v>
      </c>
      <c r="J60" s="15" t="s">
        <v>95</v>
      </c>
      <c r="K60" s="16">
        <v>60</v>
      </c>
      <c r="L60" s="18">
        <v>0.13500000000000001</v>
      </c>
      <c r="M60" s="19">
        <v>0.49450114873262802</v>
      </c>
      <c r="N60" s="15" t="s">
        <v>80</v>
      </c>
      <c r="O60" s="16">
        <v>1</v>
      </c>
    </row>
    <row r="61" spans="1:15" x14ac:dyDescent="0.3">
      <c r="A61" s="9" t="s">
        <v>121</v>
      </c>
      <c r="B61" s="10">
        <v>66</v>
      </c>
      <c r="C61" s="11">
        <v>71255</v>
      </c>
      <c r="D61" s="11">
        <v>19346</v>
      </c>
      <c r="E61" s="28">
        <v>353</v>
      </c>
      <c r="F61" s="10">
        <v>28</v>
      </c>
      <c r="G61" s="9" t="s">
        <v>76</v>
      </c>
      <c r="H61" s="9" t="s">
        <v>99</v>
      </c>
      <c r="I61" s="9" t="s">
        <v>78</v>
      </c>
      <c r="J61" s="9" t="s">
        <v>79</v>
      </c>
      <c r="K61" s="10">
        <v>48</v>
      </c>
      <c r="L61" s="12">
        <v>0.17499999999999999</v>
      </c>
      <c r="M61" s="13">
        <v>0.27150375412251798</v>
      </c>
      <c r="N61" s="9" t="s">
        <v>80</v>
      </c>
      <c r="O61" s="10">
        <v>3</v>
      </c>
    </row>
    <row r="62" spans="1:15" x14ac:dyDescent="0.3">
      <c r="A62" s="15" t="s">
        <v>122</v>
      </c>
      <c r="B62" s="16">
        <v>44</v>
      </c>
      <c r="C62" s="17">
        <v>60220</v>
      </c>
      <c r="D62" s="17">
        <v>12090</v>
      </c>
      <c r="E62" s="29">
        <v>645</v>
      </c>
      <c r="F62" s="16">
        <v>34</v>
      </c>
      <c r="G62" s="15" t="s">
        <v>82</v>
      </c>
      <c r="H62" s="15" t="s">
        <v>99</v>
      </c>
      <c r="I62" s="15" t="s">
        <v>78</v>
      </c>
      <c r="J62" s="15" t="s">
        <v>79</v>
      </c>
      <c r="K62" s="16">
        <v>12</v>
      </c>
      <c r="L62" s="18">
        <v>0.13500000000000001</v>
      </c>
      <c r="M62" s="19">
        <v>0.200763865825307</v>
      </c>
      <c r="N62" s="15" t="s">
        <v>80</v>
      </c>
      <c r="O62" s="16">
        <v>3</v>
      </c>
    </row>
    <row r="63" spans="1:15" x14ac:dyDescent="0.3">
      <c r="A63" s="9" t="s">
        <v>123</v>
      </c>
      <c r="B63" s="10">
        <v>59</v>
      </c>
      <c r="C63" s="11">
        <v>52315</v>
      </c>
      <c r="D63" s="11">
        <v>21273</v>
      </c>
      <c r="E63" s="28">
        <v>823</v>
      </c>
      <c r="F63" s="10">
        <v>8</v>
      </c>
      <c r="G63" s="9" t="s">
        <v>82</v>
      </c>
      <c r="H63" s="9" t="s">
        <v>99</v>
      </c>
      <c r="I63" s="9" t="s">
        <v>78</v>
      </c>
      <c r="J63" s="9" t="s">
        <v>79</v>
      </c>
      <c r="K63" s="10">
        <v>12</v>
      </c>
      <c r="L63" s="12">
        <v>7.4999999999999997E-2</v>
      </c>
      <c r="M63" s="13">
        <v>0.406632896874701</v>
      </c>
      <c r="N63" s="9" t="s">
        <v>87</v>
      </c>
      <c r="O63" s="10">
        <v>3</v>
      </c>
    </row>
    <row r="64" spans="1:15" x14ac:dyDescent="0.3">
      <c r="A64" s="15" t="s">
        <v>124</v>
      </c>
      <c r="B64" s="16">
        <v>45</v>
      </c>
      <c r="C64" s="17">
        <v>75679</v>
      </c>
      <c r="D64" s="17">
        <v>14434</v>
      </c>
      <c r="E64" s="29">
        <v>435</v>
      </c>
      <c r="F64" s="16">
        <v>31</v>
      </c>
      <c r="G64" s="15" t="s">
        <v>82</v>
      </c>
      <c r="H64" s="15" t="s">
        <v>94</v>
      </c>
      <c r="I64" s="15" t="s">
        <v>92</v>
      </c>
      <c r="J64" s="15" t="s">
        <v>95</v>
      </c>
      <c r="K64" s="16">
        <v>36</v>
      </c>
      <c r="L64" s="18">
        <v>0.17499999999999999</v>
      </c>
      <c r="M64" s="19">
        <v>0.19072662165197701</v>
      </c>
      <c r="N64" s="15" t="s">
        <v>80</v>
      </c>
      <c r="O64" s="16">
        <v>1</v>
      </c>
    </row>
    <row r="65" spans="1:15" x14ac:dyDescent="0.3">
      <c r="A65" s="9" t="s">
        <v>125</v>
      </c>
      <c r="B65" s="10">
        <v>33</v>
      </c>
      <c r="C65" s="11">
        <v>47224</v>
      </c>
      <c r="D65" s="11">
        <v>21609</v>
      </c>
      <c r="E65" s="28">
        <v>629</v>
      </c>
      <c r="F65" s="10">
        <v>26</v>
      </c>
      <c r="G65" s="9" t="s">
        <v>76</v>
      </c>
      <c r="H65" s="9" t="s">
        <v>94</v>
      </c>
      <c r="I65" s="9" t="s">
        <v>90</v>
      </c>
      <c r="J65" s="9" t="s">
        <v>79</v>
      </c>
      <c r="K65" s="10">
        <v>36</v>
      </c>
      <c r="L65" s="12">
        <v>0.13500000000000001</v>
      </c>
      <c r="M65" s="13">
        <v>0.45758512620701303</v>
      </c>
      <c r="N65" s="9" t="s">
        <v>80</v>
      </c>
      <c r="O65" s="10">
        <v>3</v>
      </c>
    </row>
    <row r="66" spans="1:15" x14ac:dyDescent="0.3">
      <c r="A66" s="15" t="s">
        <v>126</v>
      </c>
      <c r="B66" s="16">
        <v>32</v>
      </c>
      <c r="C66" s="17">
        <v>40707</v>
      </c>
      <c r="D66" s="17">
        <v>6278</v>
      </c>
      <c r="E66" s="29">
        <v>443</v>
      </c>
      <c r="F66" s="16">
        <v>9</v>
      </c>
      <c r="G66" s="15" t="s">
        <v>76</v>
      </c>
      <c r="H66" s="15" t="s">
        <v>77</v>
      </c>
      <c r="I66" s="15" t="s">
        <v>90</v>
      </c>
      <c r="J66" s="15" t="s">
        <v>95</v>
      </c>
      <c r="K66" s="16">
        <v>120</v>
      </c>
      <c r="L66" s="18">
        <v>0.17499999999999999</v>
      </c>
      <c r="M66" s="19">
        <v>0.154224089222984</v>
      </c>
      <c r="N66" s="15" t="s">
        <v>80</v>
      </c>
      <c r="O66" s="16">
        <v>1</v>
      </c>
    </row>
    <row r="67" spans="1:15" x14ac:dyDescent="0.3">
      <c r="A67" s="9" t="s">
        <v>127</v>
      </c>
      <c r="B67" s="10">
        <v>64</v>
      </c>
      <c r="C67" s="11">
        <v>52307</v>
      </c>
      <c r="D67" s="11">
        <v>26458</v>
      </c>
      <c r="E67" s="28">
        <v>735</v>
      </c>
      <c r="F67" s="10">
        <v>24</v>
      </c>
      <c r="G67" s="9" t="s">
        <v>82</v>
      </c>
      <c r="H67" s="9" t="s">
        <v>77</v>
      </c>
      <c r="I67" s="9" t="s">
        <v>78</v>
      </c>
      <c r="J67" s="9" t="s">
        <v>79</v>
      </c>
      <c r="K67" s="10">
        <v>24</v>
      </c>
      <c r="L67" s="12">
        <v>0.105</v>
      </c>
      <c r="M67" s="13">
        <v>0.50582140057736102</v>
      </c>
      <c r="N67" s="9" t="s">
        <v>80</v>
      </c>
      <c r="O67" s="10">
        <v>3</v>
      </c>
    </row>
    <row r="68" spans="1:15" x14ac:dyDescent="0.3">
      <c r="A68" s="15" t="s">
        <v>128</v>
      </c>
      <c r="B68" s="16">
        <v>68</v>
      </c>
      <c r="C68" s="17">
        <v>61497</v>
      </c>
      <c r="D68" s="17">
        <v>20266</v>
      </c>
      <c r="E68" s="29">
        <v>581</v>
      </c>
      <c r="F68" s="16">
        <v>32</v>
      </c>
      <c r="G68" s="15" t="s">
        <v>76</v>
      </c>
      <c r="H68" s="15" t="s">
        <v>86</v>
      </c>
      <c r="I68" s="15" t="s">
        <v>78</v>
      </c>
      <c r="J68" s="15" t="s">
        <v>95</v>
      </c>
      <c r="K68" s="16">
        <v>48</v>
      </c>
      <c r="L68" s="18">
        <v>0.13500000000000001</v>
      </c>
      <c r="M68" s="19">
        <v>0.32954453062750999</v>
      </c>
      <c r="N68" s="15" t="s">
        <v>80</v>
      </c>
      <c r="O68" s="16">
        <v>1</v>
      </c>
    </row>
    <row r="69" spans="1:15" x14ac:dyDescent="0.3">
      <c r="A69" s="9" t="s">
        <v>129</v>
      </c>
      <c r="B69" s="10">
        <v>61</v>
      </c>
      <c r="C69" s="11">
        <v>24233</v>
      </c>
      <c r="D69" s="11">
        <v>37668</v>
      </c>
      <c r="E69" s="28">
        <v>435</v>
      </c>
      <c r="F69" s="10">
        <v>10</v>
      </c>
      <c r="G69" s="9" t="s">
        <v>76</v>
      </c>
      <c r="H69" s="9" t="s">
        <v>77</v>
      </c>
      <c r="I69" s="9" t="s">
        <v>92</v>
      </c>
      <c r="J69" s="9" t="s">
        <v>84</v>
      </c>
      <c r="K69" s="10">
        <v>48</v>
      </c>
      <c r="L69" s="12">
        <v>0.17499999999999999</v>
      </c>
      <c r="M69" s="13">
        <v>1.55440927660628</v>
      </c>
      <c r="N69" s="9" t="s">
        <v>80</v>
      </c>
      <c r="O69" s="10">
        <v>2</v>
      </c>
    </row>
    <row r="70" spans="1:15" x14ac:dyDescent="0.3">
      <c r="A70" s="15" t="s">
        <v>130</v>
      </c>
      <c r="B70" s="16">
        <v>69</v>
      </c>
      <c r="C70" s="17">
        <v>54273</v>
      </c>
      <c r="D70" s="17">
        <v>30448</v>
      </c>
      <c r="E70" s="29">
        <v>788</v>
      </c>
      <c r="F70" s="16">
        <v>36</v>
      </c>
      <c r="G70" s="15" t="s">
        <v>76</v>
      </c>
      <c r="H70" s="15" t="s">
        <v>94</v>
      </c>
      <c r="I70" s="15" t="s">
        <v>90</v>
      </c>
      <c r="J70" s="15" t="s">
        <v>84</v>
      </c>
      <c r="K70" s="16">
        <v>120</v>
      </c>
      <c r="L70" s="18">
        <v>7.4999999999999997E-2</v>
      </c>
      <c r="M70" s="19">
        <v>0.56101560628673597</v>
      </c>
      <c r="N70" s="15" t="s">
        <v>87</v>
      </c>
      <c r="O70" s="16">
        <v>2</v>
      </c>
    </row>
    <row r="71" spans="1:15" x14ac:dyDescent="0.3">
      <c r="A71" s="9" t="s">
        <v>131</v>
      </c>
      <c r="B71" s="10">
        <v>20</v>
      </c>
      <c r="C71" s="11">
        <v>62155</v>
      </c>
      <c r="D71" s="11">
        <v>24529</v>
      </c>
      <c r="E71" s="28">
        <v>700</v>
      </c>
      <c r="F71" s="10">
        <v>8</v>
      </c>
      <c r="G71" s="9" t="s">
        <v>76</v>
      </c>
      <c r="H71" s="9" t="s">
        <v>77</v>
      </c>
      <c r="I71" s="9" t="s">
        <v>83</v>
      </c>
      <c r="J71" s="9" t="s">
        <v>79</v>
      </c>
      <c r="K71" s="10">
        <v>84</v>
      </c>
      <c r="L71" s="12">
        <v>0.105</v>
      </c>
      <c r="M71" s="13">
        <v>0.394642426192583</v>
      </c>
      <c r="N71" s="9" t="s">
        <v>80</v>
      </c>
      <c r="O71" s="10">
        <v>3</v>
      </c>
    </row>
    <row r="72" spans="1:15" x14ac:dyDescent="0.3">
      <c r="A72" s="15" t="s">
        <v>132</v>
      </c>
      <c r="B72" s="16">
        <v>54</v>
      </c>
      <c r="C72" s="17">
        <v>45955</v>
      </c>
      <c r="D72" s="17">
        <v>19008</v>
      </c>
      <c r="E72" s="29">
        <v>748</v>
      </c>
      <c r="F72" s="16">
        <v>6</v>
      </c>
      <c r="G72" s="15" t="s">
        <v>76</v>
      </c>
      <c r="H72" s="15" t="s">
        <v>77</v>
      </c>
      <c r="I72" s="15" t="s">
        <v>78</v>
      </c>
      <c r="J72" s="15" t="s">
        <v>95</v>
      </c>
      <c r="K72" s="16">
        <v>84</v>
      </c>
      <c r="L72" s="18">
        <v>0.105</v>
      </c>
      <c r="M72" s="19">
        <v>0.41362202154281402</v>
      </c>
      <c r="N72" s="15" t="s">
        <v>87</v>
      </c>
      <c r="O72" s="16">
        <v>1</v>
      </c>
    </row>
    <row r="73" spans="1:15" x14ac:dyDescent="0.3">
      <c r="A73" s="9" t="s">
        <v>133</v>
      </c>
      <c r="B73" s="10">
        <v>68</v>
      </c>
      <c r="C73" s="11">
        <v>66604</v>
      </c>
      <c r="D73" s="11">
        <v>14163</v>
      </c>
      <c r="E73" s="28">
        <v>569</v>
      </c>
      <c r="F73" s="10">
        <v>6</v>
      </c>
      <c r="G73" s="9" t="s">
        <v>82</v>
      </c>
      <c r="H73" s="9" t="s">
        <v>94</v>
      </c>
      <c r="I73" s="9" t="s">
        <v>83</v>
      </c>
      <c r="J73" s="9" t="s">
        <v>84</v>
      </c>
      <c r="K73" s="10">
        <v>120</v>
      </c>
      <c r="L73" s="12">
        <v>0.13500000000000001</v>
      </c>
      <c r="M73" s="13">
        <v>0.21264488619302099</v>
      </c>
      <c r="N73" s="9" t="s">
        <v>80</v>
      </c>
      <c r="O73" s="10">
        <v>2</v>
      </c>
    </row>
    <row r="74" spans="1:15" x14ac:dyDescent="0.3">
      <c r="A74" s="15" t="s">
        <v>134</v>
      </c>
      <c r="B74" s="16">
        <v>24</v>
      </c>
      <c r="C74" s="17">
        <v>59618</v>
      </c>
      <c r="D74" s="17">
        <v>27539</v>
      </c>
      <c r="E74" s="29">
        <v>316</v>
      </c>
      <c r="F74" s="16">
        <v>33</v>
      </c>
      <c r="G74" s="15" t="s">
        <v>82</v>
      </c>
      <c r="H74" s="15" t="s">
        <v>99</v>
      </c>
      <c r="I74" s="15" t="s">
        <v>83</v>
      </c>
      <c r="J74" s="15" t="s">
        <v>84</v>
      </c>
      <c r="K74" s="16">
        <v>84</v>
      </c>
      <c r="L74" s="18">
        <v>0.17499999999999999</v>
      </c>
      <c r="M74" s="19">
        <v>0.46192425106511498</v>
      </c>
      <c r="N74" s="15" t="s">
        <v>80</v>
      </c>
      <c r="O74" s="16">
        <v>2</v>
      </c>
    </row>
    <row r="75" spans="1:15" x14ac:dyDescent="0.3">
      <c r="A75" s="9" t="s">
        <v>135</v>
      </c>
      <c r="B75" s="10">
        <v>38</v>
      </c>
      <c r="C75" s="11">
        <v>82121</v>
      </c>
      <c r="D75" s="11">
        <v>18164</v>
      </c>
      <c r="E75" s="28">
        <v>568</v>
      </c>
      <c r="F75" s="10">
        <v>18</v>
      </c>
      <c r="G75" s="9" t="s">
        <v>76</v>
      </c>
      <c r="H75" s="9" t="s">
        <v>94</v>
      </c>
      <c r="I75" s="9" t="s">
        <v>90</v>
      </c>
      <c r="J75" s="9" t="s">
        <v>79</v>
      </c>
      <c r="K75" s="10">
        <v>36</v>
      </c>
      <c r="L75" s="12">
        <v>0.13500000000000001</v>
      </c>
      <c r="M75" s="13">
        <v>0.22118581118106201</v>
      </c>
      <c r="N75" s="9" t="s">
        <v>80</v>
      </c>
      <c r="O75" s="10">
        <v>3</v>
      </c>
    </row>
    <row r="76" spans="1:15" x14ac:dyDescent="0.3">
      <c r="A76" s="15" t="s">
        <v>136</v>
      </c>
      <c r="B76" s="16">
        <v>26</v>
      </c>
      <c r="C76" s="17">
        <v>38741</v>
      </c>
      <c r="D76" s="17">
        <v>29347</v>
      </c>
      <c r="E76" s="29">
        <v>781</v>
      </c>
      <c r="F76" s="16">
        <v>19</v>
      </c>
      <c r="G76" s="15" t="s">
        <v>76</v>
      </c>
      <c r="H76" s="15" t="s">
        <v>94</v>
      </c>
      <c r="I76" s="15" t="s">
        <v>83</v>
      </c>
      <c r="J76" s="15" t="s">
        <v>79</v>
      </c>
      <c r="K76" s="16">
        <v>48</v>
      </c>
      <c r="L76" s="18">
        <v>7.4999999999999997E-2</v>
      </c>
      <c r="M76" s="19">
        <v>0.75751787511938296</v>
      </c>
      <c r="N76" s="15" t="s">
        <v>80</v>
      </c>
      <c r="O76" s="16">
        <v>3</v>
      </c>
    </row>
    <row r="77" spans="1:15" x14ac:dyDescent="0.3">
      <c r="A77" s="9" t="s">
        <v>137</v>
      </c>
      <c r="B77" s="10">
        <v>56</v>
      </c>
      <c r="C77" s="11">
        <v>62461</v>
      </c>
      <c r="D77" s="11">
        <v>23207</v>
      </c>
      <c r="E77" s="28">
        <v>518</v>
      </c>
      <c r="F77" s="10">
        <v>24</v>
      </c>
      <c r="G77" s="9" t="s">
        <v>82</v>
      </c>
      <c r="H77" s="9" t="s">
        <v>86</v>
      </c>
      <c r="I77" s="9" t="s">
        <v>78</v>
      </c>
      <c r="J77" s="9" t="s">
        <v>95</v>
      </c>
      <c r="K77" s="10">
        <v>120</v>
      </c>
      <c r="L77" s="12">
        <v>0.17499999999999999</v>
      </c>
      <c r="M77" s="13">
        <v>0.37154384335825602</v>
      </c>
      <c r="N77" s="9" t="s">
        <v>80</v>
      </c>
      <c r="O77" s="10">
        <v>1</v>
      </c>
    </row>
    <row r="78" spans="1:15" x14ac:dyDescent="0.3">
      <c r="A78" s="15" t="s">
        <v>138</v>
      </c>
      <c r="B78" s="16">
        <v>35</v>
      </c>
      <c r="C78" s="17">
        <v>34740</v>
      </c>
      <c r="D78" s="17">
        <v>23264</v>
      </c>
      <c r="E78" s="29">
        <v>618</v>
      </c>
      <c r="F78" s="16">
        <v>4</v>
      </c>
      <c r="G78" s="15" t="s">
        <v>82</v>
      </c>
      <c r="H78" s="15" t="s">
        <v>86</v>
      </c>
      <c r="I78" s="15" t="s">
        <v>78</v>
      </c>
      <c r="J78" s="15" t="s">
        <v>84</v>
      </c>
      <c r="K78" s="16">
        <v>48</v>
      </c>
      <c r="L78" s="18">
        <v>0.13500000000000001</v>
      </c>
      <c r="M78" s="19">
        <v>0.66966033390903901</v>
      </c>
      <c r="N78" s="15" t="s">
        <v>80</v>
      </c>
      <c r="O78" s="16">
        <v>2</v>
      </c>
    </row>
    <row r="79" spans="1:15" x14ac:dyDescent="0.3">
      <c r="A79" s="9" t="s">
        <v>139</v>
      </c>
      <c r="B79" s="10">
        <v>21</v>
      </c>
      <c r="C79" s="11">
        <v>25770</v>
      </c>
      <c r="D79" s="11">
        <v>24756</v>
      </c>
      <c r="E79" s="28">
        <v>537</v>
      </c>
      <c r="F79" s="10">
        <v>28</v>
      </c>
      <c r="G79" s="9" t="s">
        <v>82</v>
      </c>
      <c r="H79" s="9" t="s">
        <v>89</v>
      </c>
      <c r="I79" s="9" t="s">
        <v>92</v>
      </c>
      <c r="J79" s="9" t="s">
        <v>95</v>
      </c>
      <c r="K79" s="10">
        <v>12</v>
      </c>
      <c r="L79" s="12">
        <v>0.17499999999999999</v>
      </c>
      <c r="M79" s="13">
        <v>0.96065192083818396</v>
      </c>
      <c r="N79" s="9" t="s">
        <v>80</v>
      </c>
      <c r="O79" s="10">
        <v>1</v>
      </c>
    </row>
    <row r="80" spans="1:15" x14ac:dyDescent="0.3">
      <c r="A80" s="15" t="s">
        <v>140</v>
      </c>
      <c r="B80" s="16">
        <v>42</v>
      </c>
      <c r="C80" s="17">
        <v>19467</v>
      </c>
      <c r="D80" s="17">
        <v>12643</v>
      </c>
      <c r="E80" s="29">
        <v>844</v>
      </c>
      <c r="F80" s="16">
        <v>26</v>
      </c>
      <c r="G80" s="15" t="s">
        <v>82</v>
      </c>
      <c r="H80" s="15" t="s">
        <v>99</v>
      </c>
      <c r="I80" s="15" t="s">
        <v>90</v>
      </c>
      <c r="J80" s="15" t="s">
        <v>95</v>
      </c>
      <c r="K80" s="16">
        <v>36</v>
      </c>
      <c r="L80" s="18">
        <v>7.4999999999999997E-2</v>
      </c>
      <c r="M80" s="19">
        <v>0.64945805722504801</v>
      </c>
      <c r="N80" s="15" t="s">
        <v>80</v>
      </c>
      <c r="O80" s="16">
        <v>1</v>
      </c>
    </row>
  </sheetData>
  <mergeCells count="5">
    <mergeCell ref="A2:N2"/>
    <mergeCell ref="A3:N3"/>
    <mergeCell ref="A5:F5"/>
    <mergeCell ref="A15:F15"/>
    <mergeCell ref="A29:N29"/>
  </mergeCells>
  <pageMargins left="0.75" right="0.75" top="1" bottom="1" header="0.511811023622047" footer="0.511811023622047"/>
  <pageSetup paperSize="9" scale="31" fitToWidth="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N234"/>
  <sheetViews>
    <sheetView showGridLines="0" zoomScaleNormal="100" workbookViewId="0">
      <pane ySplit="6" topLeftCell="A7" activePane="bottomLeft" state="frozen"/>
      <selection pane="bottomLeft" activeCell="A2" sqref="A2:N41"/>
    </sheetView>
  </sheetViews>
  <sheetFormatPr defaultColWidth="8.6640625" defaultRowHeight="14.4" x14ac:dyDescent="0.3"/>
  <cols>
    <col min="1" max="1" width="12" customWidth="1"/>
    <col min="2" max="2" width="17" customWidth="1"/>
    <col min="3" max="3" width="14.6640625" customWidth="1"/>
    <col min="4" max="4" width="16.33203125" customWidth="1"/>
    <col min="5" max="5" width="19.109375" customWidth="1"/>
    <col min="6" max="10" width="10" customWidth="1"/>
    <col min="11" max="11" width="12" customWidth="1"/>
    <col min="12" max="12" width="10" customWidth="1"/>
  </cols>
  <sheetData>
    <row r="1" spans="1:14" ht="9.75" customHeight="1" x14ac:dyDescent="0.3"/>
    <row r="2" spans="1:14" ht="36" customHeight="1" x14ac:dyDescent="0.3">
      <c r="A2" s="102" t="s">
        <v>363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</row>
    <row r="3" spans="1:14" ht="19.5" customHeight="1" x14ac:dyDescent="0.3">
      <c r="A3" s="103" t="s">
        <v>364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</row>
    <row r="4" spans="1:14" ht="7.5" customHeight="1" x14ac:dyDescent="0.3"/>
    <row r="5" spans="1:14" ht="15" customHeight="1" x14ac:dyDescent="0.3">
      <c r="A5" s="107" t="s">
        <v>365</v>
      </c>
      <c r="B5" s="107"/>
      <c r="C5" s="107"/>
      <c r="D5" s="107"/>
      <c r="E5" s="107"/>
      <c r="F5" s="107"/>
      <c r="G5" s="107"/>
    </row>
    <row r="6" spans="1:14" ht="21.75" customHeight="1" x14ac:dyDescent="0.3">
      <c r="A6" s="27" t="s">
        <v>366</v>
      </c>
      <c r="B6" s="27" t="s">
        <v>367</v>
      </c>
      <c r="C6" s="27" t="s">
        <v>368</v>
      </c>
      <c r="D6" s="27" t="s">
        <v>369</v>
      </c>
      <c r="E6" s="27" t="s">
        <v>370</v>
      </c>
      <c r="F6" s="27" t="s">
        <v>371</v>
      </c>
      <c r="G6" s="27" t="s">
        <v>372</v>
      </c>
    </row>
    <row r="7" spans="1:14" x14ac:dyDescent="0.3">
      <c r="A7" s="9" t="s">
        <v>65</v>
      </c>
      <c r="B7" s="9" t="s">
        <v>373</v>
      </c>
      <c r="C7" s="9">
        <v>750</v>
      </c>
      <c r="D7" s="30" t="s">
        <v>374</v>
      </c>
      <c r="E7" s="30">
        <v>30</v>
      </c>
      <c r="F7" s="31">
        <v>0.3</v>
      </c>
      <c r="G7" s="32">
        <f t="shared" ref="G7:G23" si="0">E7*F7</f>
        <v>9</v>
      </c>
    </row>
    <row r="8" spans="1:14" x14ac:dyDescent="0.3">
      <c r="A8" s="15" t="s">
        <v>65</v>
      </c>
      <c r="B8" s="15" t="s">
        <v>375</v>
      </c>
      <c r="C8" s="15">
        <v>600</v>
      </c>
      <c r="D8" s="33" t="s">
        <v>376</v>
      </c>
      <c r="E8" s="30">
        <v>15</v>
      </c>
      <c r="F8" s="34">
        <v>0.3</v>
      </c>
      <c r="G8" s="32">
        <f t="shared" si="0"/>
        <v>4.5</v>
      </c>
    </row>
    <row r="9" spans="1:14" x14ac:dyDescent="0.3">
      <c r="A9" s="9" t="s">
        <v>65</v>
      </c>
      <c r="B9" s="9" t="s">
        <v>377</v>
      </c>
      <c r="C9" s="9">
        <v>600</v>
      </c>
      <c r="D9" s="35" t="s">
        <v>378</v>
      </c>
      <c r="E9" s="35">
        <v>-20</v>
      </c>
      <c r="F9" s="31">
        <v>0.3</v>
      </c>
      <c r="G9" s="32">
        <f t="shared" si="0"/>
        <v>-6</v>
      </c>
    </row>
    <row r="10" spans="1:14" x14ac:dyDescent="0.3">
      <c r="A10" s="15" t="s">
        <v>73</v>
      </c>
      <c r="B10" s="15" t="s">
        <v>379</v>
      </c>
      <c r="C10" s="15">
        <v>0.3</v>
      </c>
      <c r="D10" s="30" t="s">
        <v>374</v>
      </c>
      <c r="E10" s="30">
        <v>20</v>
      </c>
      <c r="F10" s="34">
        <v>0.2</v>
      </c>
      <c r="G10" s="32">
        <f t="shared" si="0"/>
        <v>4</v>
      </c>
    </row>
    <row r="11" spans="1:14" x14ac:dyDescent="0.3">
      <c r="A11" s="9" t="s">
        <v>73</v>
      </c>
      <c r="B11" s="9" t="s">
        <v>380</v>
      </c>
      <c r="C11" s="9">
        <v>0.3</v>
      </c>
      <c r="D11" s="33" t="s">
        <v>376</v>
      </c>
      <c r="E11" s="30">
        <v>5</v>
      </c>
      <c r="F11" s="31">
        <v>0.2</v>
      </c>
      <c r="G11" s="32">
        <f t="shared" si="0"/>
        <v>1</v>
      </c>
    </row>
    <row r="12" spans="1:14" x14ac:dyDescent="0.3">
      <c r="A12" s="15" t="s">
        <v>73</v>
      </c>
      <c r="B12" s="15" t="s">
        <v>381</v>
      </c>
      <c r="C12" s="15">
        <v>0.6</v>
      </c>
      <c r="D12" s="35" t="s">
        <v>378</v>
      </c>
      <c r="E12" s="35">
        <v>-25</v>
      </c>
      <c r="F12" s="34">
        <v>0.2</v>
      </c>
      <c r="G12" s="32">
        <f t="shared" si="0"/>
        <v>-5</v>
      </c>
    </row>
    <row r="13" spans="1:14" x14ac:dyDescent="0.3">
      <c r="A13" s="9" t="s">
        <v>382</v>
      </c>
      <c r="B13" s="9" t="s">
        <v>383</v>
      </c>
      <c r="C13" s="9">
        <v>60000</v>
      </c>
      <c r="D13" s="30" t="s">
        <v>374</v>
      </c>
      <c r="E13" s="30">
        <v>15</v>
      </c>
      <c r="F13" s="31">
        <v>0.15</v>
      </c>
      <c r="G13" s="32">
        <f t="shared" si="0"/>
        <v>2.25</v>
      </c>
    </row>
    <row r="14" spans="1:14" x14ac:dyDescent="0.3">
      <c r="A14" s="15" t="s">
        <v>382</v>
      </c>
      <c r="B14" s="15" t="s">
        <v>384</v>
      </c>
      <c r="C14" s="15">
        <v>30000</v>
      </c>
      <c r="D14" s="33" t="s">
        <v>376</v>
      </c>
      <c r="E14" s="30">
        <v>5</v>
      </c>
      <c r="F14" s="34">
        <v>0.15</v>
      </c>
      <c r="G14" s="32">
        <f t="shared" si="0"/>
        <v>0.75</v>
      </c>
    </row>
    <row r="15" spans="1:14" x14ac:dyDescent="0.3">
      <c r="A15" s="9" t="s">
        <v>382</v>
      </c>
      <c r="B15" s="9" t="s">
        <v>385</v>
      </c>
      <c r="C15" s="9">
        <v>30000</v>
      </c>
      <c r="D15" s="35" t="s">
        <v>378</v>
      </c>
      <c r="E15" s="35">
        <v>-10</v>
      </c>
      <c r="F15" s="31">
        <v>0.15</v>
      </c>
      <c r="G15" s="32">
        <f t="shared" si="0"/>
        <v>-1.5</v>
      </c>
    </row>
    <row r="16" spans="1:14" x14ac:dyDescent="0.3">
      <c r="A16" s="15" t="s">
        <v>359</v>
      </c>
      <c r="B16" s="15" t="s">
        <v>95</v>
      </c>
      <c r="C16" s="15">
        <v>1</v>
      </c>
      <c r="D16" s="30" t="s">
        <v>374</v>
      </c>
      <c r="E16" s="30">
        <v>10</v>
      </c>
      <c r="F16" s="34">
        <v>0.15</v>
      </c>
      <c r="G16" s="32">
        <f t="shared" si="0"/>
        <v>1.5</v>
      </c>
    </row>
    <row r="17" spans="1:7" x14ac:dyDescent="0.3">
      <c r="A17" s="9" t="s">
        <v>359</v>
      </c>
      <c r="B17" s="9" t="s">
        <v>84</v>
      </c>
      <c r="C17" s="9">
        <v>2</v>
      </c>
      <c r="D17" s="33" t="s">
        <v>376</v>
      </c>
      <c r="E17" s="30">
        <v>5</v>
      </c>
      <c r="F17" s="31">
        <v>0.15</v>
      </c>
      <c r="G17" s="32">
        <f t="shared" si="0"/>
        <v>0.75</v>
      </c>
    </row>
    <row r="18" spans="1:7" x14ac:dyDescent="0.3">
      <c r="A18" s="15" t="s">
        <v>359</v>
      </c>
      <c r="B18" s="15" t="s">
        <v>79</v>
      </c>
      <c r="C18" s="15">
        <v>3</v>
      </c>
      <c r="D18" s="35" t="s">
        <v>378</v>
      </c>
      <c r="E18" s="35">
        <v>-30</v>
      </c>
      <c r="F18" s="34">
        <v>0.15</v>
      </c>
      <c r="G18" s="32">
        <f t="shared" si="0"/>
        <v>-4.5</v>
      </c>
    </row>
    <row r="19" spans="1:7" x14ac:dyDescent="0.3">
      <c r="A19" s="9" t="s">
        <v>386</v>
      </c>
      <c r="B19" s="9" t="s">
        <v>387</v>
      </c>
      <c r="C19" s="9">
        <v>0</v>
      </c>
      <c r="D19" s="30" t="s">
        <v>374</v>
      </c>
      <c r="E19" s="30">
        <v>10</v>
      </c>
      <c r="F19" s="31">
        <v>0.1</v>
      </c>
      <c r="G19" s="32">
        <f t="shared" si="0"/>
        <v>1</v>
      </c>
    </row>
    <row r="20" spans="1:7" x14ac:dyDescent="0.3">
      <c r="A20" s="15" t="s">
        <v>386</v>
      </c>
      <c r="B20" s="15" t="s">
        <v>388</v>
      </c>
      <c r="C20" s="15">
        <v>1</v>
      </c>
      <c r="D20" s="35" t="s">
        <v>378</v>
      </c>
      <c r="E20" s="35">
        <v>-20</v>
      </c>
      <c r="F20" s="34">
        <v>0.1</v>
      </c>
      <c r="G20" s="32">
        <f t="shared" si="0"/>
        <v>-2</v>
      </c>
    </row>
    <row r="21" spans="1:7" x14ac:dyDescent="0.3">
      <c r="A21" s="9" t="s">
        <v>386</v>
      </c>
      <c r="B21" s="9" t="s">
        <v>389</v>
      </c>
      <c r="C21" s="9">
        <v>2</v>
      </c>
      <c r="D21" s="35" t="s">
        <v>378</v>
      </c>
      <c r="E21" s="35">
        <v>-40</v>
      </c>
      <c r="F21" s="31">
        <v>0.1</v>
      </c>
      <c r="G21" s="32">
        <f t="shared" si="0"/>
        <v>-4</v>
      </c>
    </row>
    <row r="22" spans="1:7" x14ac:dyDescent="0.3">
      <c r="A22" s="15" t="s">
        <v>66</v>
      </c>
      <c r="B22" s="15" t="s">
        <v>390</v>
      </c>
      <c r="C22" s="15">
        <v>10</v>
      </c>
      <c r="D22" s="30" t="s">
        <v>374</v>
      </c>
      <c r="E22" s="30">
        <v>5</v>
      </c>
      <c r="F22" s="34">
        <v>0.1</v>
      </c>
      <c r="G22" s="32">
        <f t="shared" si="0"/>
        <v>0.5</v>
      </c>
    </row>
    <row r="23" spans="1:7" x14ac:dyDescent="0.3">
      <c r="A23" s="9" t="s">
        <v>66</v>
      </c>
      <c r="B23" s="9" t="s">
        <v>391</v>
      </c>
      <c r="C23" s="9">
        <v>10</v>
      </c>
      <c r="D23" s="35" t="s">
        <v>378</v>
      </c>
      <c r="E23" s="35">
        <v>-5</v>
      </c>
      <c r="F23" s="31">
        <v>0.1</v>
      </c>
      <c r="G23" s="32">
        <f t="shared" si="0"/>
        <v>-0.5</v>
      </c>
    </row>
    <row r="26" spans="1:7" ht="15" customHeight="1" x14ac:dyDescent="0.3">
      <c r="A26" s="104" t="s">
        <v>392</v>
      </c>
      <c r="B26" s="104"/>
      <c r="C26" s="104"/>
      <c r="D26" s="104"/>
      <c r="E26" s="104"/>
      <c r="F26" s="104"/>
      <c r="G26" s="104"/>
    </row>
    <row r="27" spans="1:7" ht="34.799999999999997" customHeight="1" x14ac:dyDescent="0.3">
      <c r="A27" s="27" t="s">
        <v>393</v>
      </c>
      <c r="B27" s="27" t="s">
        <v>394</v>
      </c>
      <c r="C27" s="27" t="s">
        <v>395</v>
      </c>
      <c r="D27" s="27" t="s">
        <v>396</v>
      </c>
      <c r="E27" s="27" t="s">
        <v>397</v>
      </c>
    </row>
    <row r="28" spans="1:7" ht="26.4" x14ac:dyDescent="0.3">
      <c r="A28" s="30" t="s">
        <v>398</v>
      </c>
      <c r="B28" s="30">
        <v>70</v>
      </c>
      <c r="C28" s="30">
        <v>100</v>
      </c>
      <c r="D28" s="30" t="s">
        <v>399</v>
      </c>
      <c r="E28" s="30" t="s">
        <v>400</v>
      </c>
    </row>
    <row r="29" spans="1:7" ht="26.4" x14ac:dyDescent="0.3">
      <c r="A29" s="33" t="s">
        <v>401</v>
      </c>
      <c r="B29" s="33">
        <v>40</v>
      </c>
      <c r="C29" s="33">
        <v>69</v>
      </c>
      <c r="D29" s="33" t="s">
        <v>402</v>
      </c>
      <c r="E29" s="33" t="s">
        <v>403</v>
      </c>
    </row>
    <row r="30" spans="1:7" ht="26.4" x14ac:dyDescent="0.3">
      <c r="A30" s="35" t="s">
        <v>404</v>
      </c>
      <c r="B30" s="35">
        <v>0</v>
      </c>
      <c r="C30" s="35">
        <v>39</v>
      </c>
      <c r="D30" s="35" t="s">
        <v>405</v>
      </c>
      <c r="E30" s="35" t="s">
        <v>406</v>
      </c>
    </row>
    <row r="33" spans="1:11" ht="15" customHeight="1" x14ac:dyDescent="0.3">
      <c r="A33" s="108" t="s">
        <v>407</v>
      </c>
      <c r="B33" s="108"/>
      <c r="C33" s="108"/>
      <c r="D33" s="108"/>
      <c r="E33" s="108"/>
      <c r="F33" s="108"/>
      <c r="G33" s="108"/>
    </row>
    <row r="34" spans="1:11" ht="21.75" customHeight="1" x14ac:dyDescent="0.3">
      <c r="A34" s="27" t="s">
        <v>61</v>
      </c>
      <c r="B34" s="27" t="s">
        <v>65</v>
      </c>
      <c r="C34" s="27" t="s">
        <v>73</v>
      </c>
      <c r="D34" s="27" t="s">
        <v>63</v>
      </c>
      <c r="E34" s="27" t="s">
        <v>359</v>
      </c>
      <c r="F34" s="27" t="s">
        <v>408</v>
      </c>
      <c r="G34" s="27" t="s">
        <v>409</v>
      </c>
      <c r="H34" s="27" t="s">
        <v>410</v>
      </c>
      <c r="I34" s="27" t="s">
        <v>411</v>
      </c>
      <c r="J34" s="27" t="s">
        <v>412</v>
      </c>
      <c r="K34" s="27" t="s">
        <v>413</v>
      </c>
    </row>
    <row r="35" spans="1:11" x14ac:dyDescent="0.3">
      <c r="A35" s="9" t="s">
        <v>75</v>
      </c>
      <c r="B35" s="28">
        <v>675</v>
      </c>
      <c r="C35" s="13">
        <v>0.64645420139391596</v>
      </c>
      <c r="D35" s="11">
        <v>48353</v>
      </c>
      <c r="E35" s="9" t="s">
        <v>79</v>
      </c>
      <c r="F35" s="36">
        <v>15</v>
      </c>
      <c r="G35" s="36">
        <v>5</v>
      </c>
      <c r="H35" s="36">
        <v>-30</v>
      </c>
      <c r="I35" s="36">
        <v>-25</v>
      </c>
      <c r="J35" s="28">
        <v>-35</v>
      </c>
      <c r="K35" s="14" t="s">
        <v>405</v>
      </c>
    </row>
    <row r="36" spans="1:11" x14ac:dyDescent="0.3">
      <c r="A36" s="15" t="s">
        <v>81</v>
      </c>
      <c r="B36" s="29">
        <v>586</v>
      </c>
      <c r="C36" s="19">
        <v>0.40482405763809098</v>
      </c>
      <c r="D36" s="17">
        <v>57462</v>
      </c>
      <c r="E36" s="15" t="s">
        <v>84</v>
      </c>
      <c r="F36" s="37">
        <v>-20</v>
      </c>
      <c r="G36" s="37">
        <v>5</v>
      </c>
      <c r="H36" s="37">
        <v>5</v>
      </c>
      <c r="I36" s="37">
        <v>5</v>
      </c>
      <c r="J36" s="29">
        <v>-5</v>
      </c>
      <c r="K36" s="20" t="s">
        <v>405</v>
      </c>
    </row>
    <row r="37" spans="1:11" ht="26.4" x14ac:dyDescent="0.3">
      <c r="A37" s="9" t="s">
        <v>85</v>
      </c>
      <c r="B37" s="28">
        <v>781</v>
      </c>
      <c r="C37" s="13">
        <v>0.59996833940161498</v>
      </c>
      <c r="D37" s="11">
        <v>44219</v>
      </c>
      <c r="E37" s="9" t="s">
        <v>84</v>
      </c>
      <c r="F37" s="36">
        <v>30</v>
      </c>
      <c r="G37" s="36">
        <v>5</v>
      </c>
      <c r="H37" s="36">
        <v>5</v>
      </c>
      <c r="I37" s="36">
        <v>5</v>
      </c>
      <c r="J37" s="28">
        <v>45</v>
      </c>
      <c r="K37" s="38" t="s">
        <v>402</v>
      </c>
    </row>
    <row r="38" spans="1:11" x14ac:dyDescent="0.3">
      <c r="A38" s="15" t="s">
        <v>88</v>
      </c>
      <c r="B38" s="29">
        <v>549</v>
      </c>
      <c r="C38" s="19">
        <v>0.20478803701138401</v>
      </c>
      <c r="D38" s="17">
        <v>56307</v>
      </c>
      <c r="E38" s="15" t="s">
        <v>79</v>
      </c>
      <c r="F38" s="37">
        <v>-20</v>
      </c>
      <c r="G38" s="37">
        <v>5</v>
      </c>
      <c r="H38" s="37">
        <v>-30</v>
      </c>
      <c r="I38" s="37">
        <v>20</v>
      </c>
      <c r="J38" s="29">
        <v>-25</v>
      </c>
      <c r="K38" s="20" t="s">
        <v>405</v>
      </c>
    </row>
    <row r="39" spans="1:11" x14ac:dyDescent="0.3">
      <c r="A39" s="9" t="s">
        <v>91</v>
      </c>
      <c r="B39" s="28">
        <v>500</v>
      </c>
      <c r="C39" s="13">
        <v>0.75257871145433897</v>
      </c>
      <c r="D39" s="11">
        <v>37034</v>
      </c>
      <c r="E39" s="9" t="s">
        <v>79</v>
      </c>
      <c r="F39" s="36">
        <v>-20</v>
      </c>
      <c r="G39" s="36">
        <v>5</v>
      </c>
      <c r="H39" s="36">
        <v>-30</v>
      </c>
      <c r="I39" s="36">
        <v>-25</v>
      </c>
      <c r="J39" s="28">
        <v>-70</v>
      </c>
      <c r="K39" s="14" t="s">
        <v>405</v>
      </c>
    </row>
    <row r="40" spans="1:11" ht="26.4" x14ac:dyDescent="0.3">
      <c r="A40" s="15" t="s">
        <v>93</v>
      </c>
      <c r="B40" s="29">
        <v>835</v>
      </c>
      <c r="C40" s="19">
        <v>0.37810633588105103</v>
      </c>
      <c r="D40" s="17">
        <v>47886</v>
      </c>
      <c r="E40" s="15" t="s">
        <v>95</v>
      </c>
      <c r="F40" s="37">
        <v>30</v>
      </c>
      <c r="G40" s="37">
        <v>5</v>
      </c>
      <c r="H40" s="37">
        <v>10</v>
      </c>
      <c r="I40" s="37">
        <v>5</v>
      </c>
      <c r="J40" s="29">
        <v>50</v>
      </c>
      <c r="K40" s="39" t="s">
        <v>402</v>
      </c>
    </row>
    <row r="41" spans="1:11" ht="26.4" x14ac:dyDescent="0.3">
      <c r="A41" s="9" t="s">
        <v>96</v>
      </c>
      <c r="B41" s="28">
        <v>760</v>
      </c>
      <c r="C41" s="13">
        <v>0.46346898516840801</v>
      </c>
      <c r="D41" s="11">
        <v>54748</v>
      </c>
      <c r="E41" s="9" t="s">
        <v>84</v>
      </c>
      <c r="F41" s="36">
        <v>30</v>
      </c>
      <c r="G41" s="36">
        <v>5</v>
      </c>
      <c r="H41" s="36">
        <v>5</v>
      </c>
      <c r="I41" s="36">
        <v>5</v>
      </c>
      <c r="J41" s="28">
        <v>45</v>
      </c>
      <c r="K41" s="38" t="s">
        <v>402</v>
      </c>
    </row>
    <row r="42" spans="1:11" x14ac:dyDescent="0.3">
      <c r="A42" s="15" t="s">
        <v>97</v>
      </c>
      <c r="B42" s="29">
        <v>599</v>
      </c>
      <c r="C42" s="19">
        <v>0.12687924345295801</v>
      </c>
      <c r="D42" s="17">
        <v>49488</v>
      </c>
      <c r="E42" s="15" t="s">
        <v>79</v>
      </c>
      <c r="F42" s="37">
        <v>-20</v>
      </c>
      <c r="G42" s="37">
        <v>5</v>
      </c>
      <c r="H42" s="37">
        <v>-30</v>
      </c>
      <c r="I42" s="37">
        <v>20</v>
      </c>
      <c r="J42" s="29">
        <v>-25</v>
      </c>
      <c r="K42" s="20" t="s">
        <v>405</v>
      </c>
    </row>
    <row r="43" spans="1:11" x14ac:dyDescent="0.3">
      <c r="A43" s="9" t="s">
        <v>98</v>
      </c>
      <c r="B43" s="28">
        <v>777</v>
      </c>
      <c r="C43" s="13">
        <v>0.96616251253954799</v>
      </c>
      <c r="D43" s="11">
        <v>25918</v>
      </c>
      <c r="E43" s="9" t="s">
        <v>79</v>
      </c>
      <c r="F43" s="36">
        <v>30</v>
      </c>
      <c r="G43" s="36">
        <v>-10</v>
      </c>
      <c r="H43" s="36">
        <v>-30</v>
      </c>
      <c r="I43" s="36">
        <v>-25</v>
      </c>
      <c r="J43" s="28">
        <v>-35</v>
      </c>
      <c r="K43" s="14" t="s">
        <v>405</v>
      </c>
    </row>
    <row r="44" spans="1:11" x14ac:dyDescent="0.3">
      <c r="A44" s="15" t="s">
        <v>100</v>
      </c>
      <c r="B44" s="29">
        <v>382</v>
      </c>
      <c r="C44" s="19">
        <v>4.7564205919613002E-2</v>
      </c>
      <c r="D44" s="17">
        <v>43415</v>
      </c>
      <c r="E44" s="15" t="s">
        <v>84</v>
      </c>
      <c r="F44" s="37">
        <v>-20</v>
      </c>
      <c r="G44" s="37">
        <v>5</v>
      </c>
      <c r="H44" s="37">
        <v>5</v>
      </c>
      <c r="I44" s="37">
        <v>20</v>
      </c>
      <c r="J44" s="29">
        <v>10</v>
      </c>
      <c r="K44" s="20" t="s">
        <v>405</v>
      </c>
    </row>
    <row r="45" spans="1:11" x14ac:dyDescent="0.3">
      <c r="A45" s="9" t="s">
        <v>101</v>
      </c>
      <c r="B45" s="28">
        <v>757</v>
      </c>
      <c r="C45" s="13">
        <v>0.236728666081265</v>
      </c>
      <c r="D45" s="11">
        <v>75162</v>
      </c>
      <c r="E45" s="9" t="s">
        <v>79</v>
      </c>
      <c r="F45" s="36">
        <v>30</v>
      </c>
      <c r="G45" s="36">
        <v>15</v>
      </c>
      <c r="H45" s="36">
        <v>-30</v>
      </c>
      <c r="I45" s="36">
        <v>20</v>
      </c>
      <c r="J45" s="28">
        <v>35</v>
      </c>
      <c r="K45" s="14" t="s">
        <v>405</v>
      </c>
    </row>
    <row r="46" spans="1:11" x14ac:dyDescent="0.3">
      <c r="A46" s="15" t="s">
        <v>102</v>
      </c>
      <c r="B46" s="29">
        <v>597</v>
      </c>
      <c r="C46" s="19">
        <v>0.149156360734987</v>
      </c>
      <c r="D46" s="17">
        <v>42613</v>
      </c>
      <c r="E46" s="15" t="s">
        <v>84</v>
      </c>
      <c r="F46" s="37">
        <v>-20</v>
      </c>
      <c r="G46" s="37">
        <v>5</v>
      </c>
      <c r="H46" s="37">
        <v>5</v>
      </c>
      <c r="I46" s="37">
        <v>20</v>
      </c>
      <c r="J46" s="29">
        <v>10</v>
      </c>
      <c r="K46" s="20" t="s">
        <v>405</v>
      </c>
    </row>
    <row r="47" spans="1:11" x14ac:dyDescent="0.3">
      <c r="A47" s="9" t="s">
        <v>103</v>
      </c>
      <c r="B47" s="28">
        <v>663</v>
      </c>
      <c r="C47" s="13">
        <v>0.49891514222584998</v>
      </c>
      <c r="D47" s="11">
        <v>50237</v>
      </c>
      <c r="E47" s="9" t="s">
        <v>79</v>
      </c>
      <c r="F47" s="36">
        <v>15</v>
      </c>
      <c r="G47" s="36">
        <v>5</v>
      </c>
      <c r="H47" s="36">
        <v>-30</v>
      </c>
      <c r="I47" s="36">
        <v>5</v>
      </c>
      <c r="J47" s="28">
        <v>-5</v>
      </c>
      <c r="K47" s="14" t="s">
        <v>405</v>
      </c>
    </row>
    <row r="48" spans="1:11" x14ac:dyDescent="0.3">
      <c r="A48" s="15" t="s">
        <v>104</v>
      </c>
      <c r="B48" s="29">
        <v>579</v>
      </c>
      <c r="C48" s="19">
        <v>0.422062054662313</v>
      </c>
      <c r="D48" s="17">
        <v>48699</v>
      </c>
      <c r="E48" s="15" t="s">
        <v>84</v>
      </c>
      <c r="F48" s="37">
        <v>-20</v>
      </c>
      <c r="G48" s="37">
        <v>5</v>
      </c>
      <c r="H48" s="37">
        <v>5</v>
      </c>
      <c r="I48" s="37">
        <v>5</v>
      </c>
      <c r="J48" s="29">
        <v>-5</v>
      </c>
      <c r="K48" s="20" t="s">
        <v>405</v>
      </c>
    </row>
    <row r="49" spans="1:11" ht="26.4" x14ac:dyDescent="0.3">
      <c r="A49" s="9" t="s">
        <v>105</v>
      </c>
      <c r="B49" s="28">
        <v>639</v>
      </c>
      <c r="C49" s="13">
        <v>0.27954251535725799</v>
      </c>
      <c r="D49" s="11">
        <v>49488</v>
      </c>
      <c r="E49" s="9" t="s">
        <v>95</v>
      </c>
      <c r="F49" s="36">
        <v>15</v>
      </c>
      <c r="G49" s="36">
        <v>5</v>
      </c>
      <c r="H49" s="36">
        <v>10</v>
      </c>
      <c r="I49" s="36">
        <v>20</v>
      </c>
      <c r="J49" s="28">
        <v>50</v>
      </c>
      <c r="K49" s="38" t="s">
        <v>402</v>
      </c>
    </row>
    <row r="50" spans="1:11" x14ac:dyDescent="0.3">
      <c r="A50" s="15" t="s">
        <v>106</v>
      </c>
      <c r="B50" s="29">
        <v>815</v>
      </c>
      <c r="C50" s="19">
        <v>0.45381798258261702</v>
      </c>
      <c r="D50" s="17">
        <v>69356</v>
      </c>
      <c r="E50" s="15" t="s">
        <v>79</v>
      </c>
      <c r="F50" s="37">
        <v>30</v>
      </c>
      <c r="G50" s="37">
        <v>15</v>
      </c>
      <c r="H50" s="37">
        <v>-30</v>
      </c>
      <c r="I50" s="37">
        <v>5</v>
      </c>
      <c r="J50" s="29">
        <v>20</v>
      </c>
      <c r="K50" s="20" t="s">
        <v>405</v>
      </c>
    </row>
    <row r="51" spans="1:11" x14ac:dyDescent="0.3">
      <c r="A51" s="9" t="s">
        <v>107</v>
      </c>
      <c r="B51" s="28">
        <v>407</v>
      </c>
      <c r="C51" s="13">
        <v>0.206510714343213</v>
      </c>
      <c r="D51" s="11">
        <v>62113</v>
      </c>
      <c r="E51" s="9" t="s">
        <v>79</v>
      </c>
      <c r="F51" s="36">
        <v>-20</v>
      </c>
      <c r="G51" s="36">
        <v>15</v>
      </c>
      <c r="H51" s="36">
        <v>-30</v>
      </c>
      <c r="I51" s="36">
        <v>20</v>
      </c>
      <c r="J51" s="28">
        <v>-15</v>
      </c>
      <c r="K51" s="14" t="s">
        <v>405</v>
      </c>
    </row>
    <row r="52" spans="1:11" x14ac:dyDescent="0.3">
      <c r="A52" s="15" t="s">
        <v>108</v>
      </c>
      <c r="B52" s="29">
        <v>615</v>
      </c>
      <c r="C52" s="19">
        <v>-0.120053105844468</v>
      </c>
      <c r="D52" s="17">
        <v>35401</v>
      </c>
      <c r="E52" s="15" t="s">
        <v>79</v>
      </c>
      <c r="F52" s="37">
        <v>15</v>
      </c>
      <c r="G52" s="37">
        <v>5</v>
      </c>
      <c r="H52" s="37">
        <v>-30</v>
      </c>
      <c r="I52" s="37">
        <v>20</v>
      </c>
      <c r="J52" s="29">
        <v>10</v>
      </c>
      <c r="K52" s="20" t="s">
        <v>405</v>
      </c>
    </row>
    <row r="53" spans="1:11" x14ac:dyDescent="0.3">
      <c r="A53" s="9" t="s">
        <v>109</v>
      </c>
      <c r="B53" s="28">
        <v>413</v>
      </c>
      <c r="C53" s="13">
        <v>0.43527478876290898</v>
      </c>
      <c r="D53" s="11">
        <v>55388</v>
      </c>
      <c r="E53" s="9" t="s">
        <v>95</v>
      </c>
      <c r="F53" s="36">
        <v>-20</v>
      </c>
      <c r="G53" s="36">
        <v>5</v>
      </c>
      <c r="H53" s="36">
        <v>10</v>
      </c>
      <c r="I53" s="36">
        <v>5</v>
      </c>
      <c r="J53" s="28">
        <v>0</v>
      </c>
      <c r="K53" s="14" t="s">
        <v>405</v>
      </c>
    </row>
    <row r="54" spans="1:11" x14ac:dyDescent="0.3">
      <c r="A54" s="15" t="s">
        <v>110</v>
      </c>
      <c r="B54" s="29">
        <v>466</v>
      </c>
      <c r="C54" s="19">
        <v>0.11855399288716501</v>
      </c>
      <c r="D54" s="17">
        <v>49488</v>
      </c>
      <c r="E54" s="15" t="s">
        <v>79</v>
      </c>
      <c r="F54" s="37">
        <v>-20</v>
      </c>
      <c r="G54" s="37">
        <v>5</v>
      </c>
      <c r="H54" s="37">
        <v>-30</v>
      </c>
      <c r="I54" s="37">
        <v>20</v>
      </c>
      <c r="J54" s="29">
        <v>-25</v>
      </c>
      <c r="K54" s="20" t="s">
        <v>405</v>
      </c>
    </row>
    <row r="55" spans="1:11" x14ac:dyDescent="0.3">
      <c r="A55" s="9" t="s">
        <v>111</v>
      </c>
      <c r="B55" s="28">
        <v>560</v>
      </c>
      <c r="C55" s="13">
        <v>0.33096328534197</v>
      </c>
      <c r="D55" s="11">
        <v>39521</v>
      </c>
      <c r="E55" s="9" t="s">
        <v>79</v>
      </c>
      <c r="F55" s="36">
        <v>-20</v>
      </c>
      <c r="G55" s="36">
        <v>5</v>
      </c>
      <c r="H55" s="36">
        <v>-30</v>
      </c>
      <c r="I55" s="36">
        <v>5</v>
      </c>
      <c r="J55" s="28">
        <v>-40</v>
      </c>
      <c r="K55" s="14" t="s">
        <v>405</v>
      </c>
    </row>
    <row r="56" spans="1:11" x14ac:dyDescent="0.3">
      <c r="A56" s="15" t="s">
        <v>112</v>
      </c>
      <c r="B56" s="29">
        <v>523</v>
      </c>
      <c r="C56" s="19">
        <v>0.42934870878674702</v>
      </c>
      <c r="D56" s="17">
        <v>36942</v>
      </c>
      <c r="E56" s="15" t="s">
        <v>84</v>
      </c>
      <c r="F56" s="37">
        <v>-20</v>
      </c>
      <c r="G56" s="37">
        <v>5</v>
      </c>
      <c r="H56" s="37">
        <v>5</v>
      </c>
      <c r="I56" s="37">
        <v>5</v>
      </c>
      <c r="J56" s="29">
        <v>-5</v>
      </c>
      <c r="K56" s="20" t="s">
        <v>405</v>
      </c>
    </row>
    <row r="57" spans="1:11" x14ac:dyDescent="0.3">
      <c r="A57" s="9" t="s">
        <v>113</v>
      </c>
      <c r="B57" s="28">
        <v>561</v>
      </c>
      <c r="C57" s="13">
        <v>0.113900099239166</v>
      </c>
      <c r="D57" s="11">
        <v>75575</v>
      </c>
      <c r="E57" s="9" t="s">
        <v>79</v>
      </c>
      <c r="F57" s="36">
        <v>-20</v>
      </c>
      <c r="G57" s="36">
        <v>15</v>
      </c>
      <c r="H57" s="36">
        <v>-30</v>
      </c>
      <c r="I57" s="36">
        <v>20</v>
      </c>
      <c r="J57" s="28">
        <v>-15</v>
      </c>
      <c r="K57" s="14" t="s">
        <v>405</v>
      </c>
    </row>
    <row r="58" spans="1:11" x14ac:dyDescent="0.3">
      <c r="A58" s="15" t="s">
        <v>114</v>
      </c>
      <c r="B58" s="29">
        <v>550</v>
      </c>
      <c r="C58" s="19">
        <v>0.35284030953218398</v>
      </c>
      <c r="D58" s="17">
        <v>45488</v>
      </c>
      <c r="E58" s="15" t="s">
        <v>79</v>
      </c>
      <c r="F58" s="37">
        <v>-20</v>
      </c>
      <c r="G58" s="37">
        <v>5</v>
      </c>
      <c r="H58" s="37">
        <v>-30</v>
      </c>
      <c r="I58" s="37">
        <v>5</v>
      </c>
      <c r="J58" s="29">
        <v>-40</v>
      </c>
      <c r="K58" s="20" t="s">
        <v>405</v>
      </c>
    </row>
    <row r="59" spans="1:11" ht="26.4" x14ac:dyDescent="0.3">
      <c r="A59" s="9" t="s">
        <v>115</v>
      </c>
      <c r="B59" s="28">
        <v>825</v>
      </c>
      <c r="C59" s="13">
        <v>0.117992590097676</v>
      </c>
      <c r="D59" s="11">
        <v>74225</v>
      </c>
      <c r="E59" s="9" t="s">
        <v>84</v>
      </c>
      <c r="F59" s="36">
        <v>30</v>
      </c>
      <c r="G59" s="36">
        <v>15</v>
      </c>
      <c r="H59" s="36">
        <v>5</v>
      </c>
      <c r="I59" s="36">
        <v>20</v>
      </c>
      <c r="J59" s="28">
        <v>70</v>
      </c>
      <c r="K59" s="38" t="s">
        <v>402</v>
      </c>
    </row>
    <row r="60" spans="1:11" x14ac:dyDescent="0.3">
      <c r="A60" s="15" t="s">
        <v>116</v>
      </c>
      <c r="B60" s="29">
        <v>425</v>
      </c>
      <c r="C60" s="19">
        <v>0.32789888539934697</v>
      </c>
      <c r="D60" s="17">
        <v>64956</v>
      </c>
      <c r="E60" s="15" t="s">
        <v>95</v>
      </c>
      <c r="F60" s="37">
        <v>-20</v>
      </c>
      <c r="G60" s="37">
        <v>15</v>
      </c>
      <c r="H60" s="37">
        <v>10</v>
      </c>
      <c r="I60" s="37">
        <v>5</v>
      </c>
      <c r="J60" s="29">
        <v>10</v>
      </c>
      <c r="K60" s="20" t="s">
        <v>405</v>
      </c>
    </row>
    <row r="61" spans="1:11" x14ac:dyDescent="0.3">
      <c r="A61" s="9" t="s">
        <v>117</v>
      </c>
      <c r="B61" s="28">
        <v>505</v>
      </c>
      <c r="C61" s="13">
        <v>0.181225275312734</v>
      </c>
      <c r="D61" s="11">
        <v>56118</v>
      </c>
      <c r="E61" s="9" t="s">
        <v>95</v>
      </c>
      <c r="F61" s="36">
        <v>-20</v>
      </c>
      <c r="G61" s="36">
        <v>5</v>
      </c>
      <c r="H61" s="36">
        <v>10</v>
      </c>
      <c r="I61" s="36">
        <v>20</v>
      </c>
      <c r="J61" s="28">
        <v>15</v>
      </c>
      <c r="K61" s="14" t="s">
        <v>405</v>
      </c>
    </row>
    <row r="62" spans="1:11" x14ac:dyDescent="0.3">
      <c r="A62" s="15" t="s">
        <v>118</v>
      </c>
      <c r="B62" s="29">
        <v>439</v>
      </c>
      <c r="C62" s="19">
        <v>0.35643093611326299</v>
      </c>
      <c r="D62" s="17">
        <v>56788</v>
      </c>
      <c r="E62" s="15" t="s">
        <v>84</v>
      </c>
      <c r="F62" s="37">
        <v>-20</v>
      </c>
      <c r="G62" s="37">
        <v>5</v>
      </c>
      <c r="H62" s="37">
        <v>5</v>
      </c>
      <c r="I62" s="37">
        <v>5</v>
      </c>
      <c r="J62" s="29">
        <v>-5</v>
      </c>
      <c r="K62" s="20" t="s">
        <v>405</v>
      </c>
    </row>
    <row r="63" spans="1:11" x14ac:dyDescent="0.3">
      <c r="A63" s="9" t="s">
        <v>119</v>
      </c>
      <c r="B63" s="28">
        <v>361</v>
      </c>
      <c r="C63" s="13">
        <v>1.0104159481271999</v>
      </c>
      <c r="D63" s="11">
        <v>28994</v>
      </c>
      <c r="E63" s="9" t="s">
        <v>95</v>
      </c>
      <c r="F63" s="36">
        <v>-20</v>
      </c>
      <c r="G63" s="36">
        <v>-10</v>
      </c>
      <c r="H63" s="36">
        <v>10</v>
      </c>
      <c r="I63" s="36">
        <v>-25</v>
      </c>
      <c r="J63" s="28">
        <v>-45</v>
      </c>
      <c r="K63" s="14" t="s">
        <v>405</v>
      </c>
    </row>
    <row r="64" spans="1:11" x14ac:dyDescent="0.3">
      <c r="A64" s="15" t="s">
        <v>120</v>
      </c>
      <c r="B64" s="29">
        <v>582</v>
      </c>
      <c r="C64" s="19">
        <v>0.49450114873262802</v>
      </c>
      <c r="D64" s="17">
        <v>53102</v>
      </c>
      <c r="E64" s="15" t="s">
        <v>95</v>
      </c>
      <c r="F64" s="37">
        <v>-20</v>
      </c>
      <c r="G64" s="37">
        <v>5</v>
      </c>
      <c r="H64" s="37">
        <v>10</v>
      </c>
      <c r="I64" s="37">
        <v>5</v>
      </c>
      <c r="J64" s="29">
        <v>0</v>
      </c>
      <c r="K64" s="20" t="s">
        <v>405</v>
      </c>
    </row>
    <row r="65" spans="1:11" x14ac:dyDescent="0.3">
      <c r="A65" s="9" t="s">
        <v>121</v>
      </c>
      <c r="B65" s="28">
        <v>353</v>
      </c>
      <c r="C65" s="13">
        <v>0.27150375412251798</v>
      </c>
      <c r="D65" s="11">
        <v>71255</v>
      </c>
      <c r="E65" s="9" t="s">
        <v>79</v>
      </c>
      <c r="F65" s="36">
        <v>-20</v>
      </c>
      <c r="G65" s="36">
        <v>15</v>
      </c>
      <c r="H65" s="36">
        <v>-30</v>
      </c>
      <c r="I65" s="36">
        <v>20</v>
      </c>
      <c r="J65" s="28">
        <v>-15</v>
      </c>
      <c r="K65" s="14" t="s">
        <v>405</v>
      </c>
    </row>
    <row r="66" spans="1:11" x14ac:dyDescent="0.3">
      <c r="A66" s="15" t="s">
        <v>122</v>
      </c>
      <c r="B66" s="29">
        <v>645</v>
      </c>
      <c r="C66" s="19">
        <v>0.200763865825307</v>
      </c>
      <c r="D66" s="17">
        <v>60220</v>
      </c>
      <c r="E66" s="15" t="s">
        <v>79</v>
      </c>
      <c r="F66" s="37">
        <v>15</v>
      </c>
      <c r="G66" s="37">
        <v>15</v>
      </c>
      <c r="H66" s="37">
        <v>-30</v>
      </c>
      <c r="I66" s="37">
        <v>20</v>
      </c>
      <c r="J66" s="29">
        <v>20</v>
      </c>
      <c r="K66" s="20" t="s">
        <v>405</v>
      </c>
    </row>
    <row r="67" spans="1:11" x14ac:dyDescent="0.3">
      <c r="A67" s="9" t="s">
        <v>123</v>
      </c>
      <c r="B67" s="28">
        <v>823</v>
      </c>
      <c r="C67" s="13">
        <v>0.406632896874701</v>
      </c>
      <c r="D67" s="11">
        <v>52315</v>
      </c>
      <c r="E67" s="9" t="s">
        <v>79</v>
      </c>
      <c r="F67" s="36">
        <v>30</v>
      </c>
      <c r="G67" s="36">
        <v>5</v>
      </c>
      <c r="H67" s="36">
        <v>-30</v>
      </c>
      <c r="I67" s="36">
        <v>5</v>
      </c>
      <c r="J67" s="28">
        <v>10</v>
      </c>
      <c r="K67" s="14" t="s">
        <v>405</v>
      </c>
    </row>
    <row r="68" spans="1:11" x14ac:dyDescent="0.3">
      <c r="A68" s="15" t="s">
        <v>124</v>
      </c>
      <c r="B68" s="29">
        <v>435</v>
      </c>
      <c r="C68" s="19">
        <v>0.19072662165197701</v>
      </c>
      <c r="D68" s="17">
        <v>75679</v>
      </c>
      <c r="E68" s="15" t="s">
        <v>95</v>
      </c>
      <c r="F68" s="37">
        <v>-20</v>
      </c>
      <c r="G68" s="37">
        <v>15</v>
      </c>
      <c r="H68" s="37">
        <v>10</v>
      </c>
      <c r="I68" s="37">
        <v>20</v>
      </c>
      <c r="J68" s="29">
        <v>25</v>
      </c>
      <c r="K68" s="20" t="s">
        <v>405</v>
      </c>
    </row>
    <row r="69" spans="1:11" x14ac:dyDescent="0.3">
      <c r="A69" s="9" t="s">
        <v>125</v>
      </c>
      <c r="B69" s="28">
        <v>629</v>
      </c>
      <c r="C69" s="13">
        <v>0.45758512620701303</v>
      </c>
      <c r="D69" s="11">
        <v>47224</v>
      </c>
      <c r="E69" s="9" t="s">
        <v>79</v>
      </c>
      <c r="F69" s="36">
        <v>15</v>
      </c>
      <c r="G69" s="36">
        <v>5</v>
      </c>
      <c r="H69" s="36">
        <v>-30</v>
      </c>
      <c r="I69" s="36">
        <v>5</v>
      </c>
      <c r="J69" s="28">
        <v>-5</v>
      </c>
      <c r="K69" s="14" t="s">
        <v>405</v>
      </c>
    </row>
    <row r="70" spans="1:11" x14ac:dyDescent="0.3">
      <c r="A70" s="15" t="s">
        <v>126</v>
      </c>
      <c r="B70" s="29">
        <v>443</v>
      </c>
      <c r="C70" s="19">
        <v>0.154224089222984</v>
      </c>
      <c r="D70" s="17">
        <v>40707</v>
      </c>
      <c r="E70" s="15" t="s">
        <v>95</v>
      </c>
      <c r="F70" s="37">
        <v>-20</v>
      </c>
      <c r="G70" s="37">
        <v>5</v>
      </c>
      <c r="H70" s="37">
        <v>10</v>
      </c>
      <c r="I70" s="37">
        <v>20</v>
      </c>
      <c r="J70" s="29">
        <v>15</v>
      </c>
      <c r="K70" s="20" t="s">
        <v>405</v>
      </c>
    </row>
    <row r="71" spans="1:11" x14ac:dyDescent="0.3">
      <c r="A71" s="9" t="s">
        <v>127</v>
      </c>
      <c r="B71" s="28">
        <v>735</v>
      </c>
      <c r="C71" s="13">
        <v>0.50582140057736102</v>
      </c>
      <c r="D71" s="11">
        <v>52307</v>
      </c>
      <c r="E71" s="9" t="s">
        <v>79</v>
      </c>
      <c r="F71" s="36">
        <v>15</v>
      </c>
      <c r="G71" s="36">
        <v>5</v>
      </c>
      <c r="H71" s="36">
        <v>-30</v>
      </c>
      <c r="I71" s="36">
        <v>5</v>
      </c>
      <c r="J71" s="28">
        <v>-5</v>
      </c>
      <c r="K71" s="14" t="s">
        <v>405</v>
      </c>
    </row>
    <row r="72" spans="1:11" x14ac:dyDescent="0.3">
      <c r="A72" s="15" t="s">
        <v>128</v>
      </c>
      <c r="B72" s="29">
        <v>581</v>
      </c>
      <c r="C72" s="19">
        <v>0.32954453062750999</v>
      </c>
      <c r="D72" s="17">
        <v>61497</v>
      </c>
      <c r="E72" s="15" t="s">
        <v>95</v>
      </c>
      <c r="F72" s="37">
        <v>-20</v>
      </c>
      <c r="G72" s="37">
        <v>15</v>
      </c>
      <c r="H72" s="37">
        <v>10</v>
      </c>
      <c r="I72" s="37">
        <v>5</v>
      </c>
      <c r="J72" s="29">
        <v>10</v>
      </c>
      <c r="K72" s="20" t="s">
        <v>405</v>
      </c>
    </row>
    <row r="73" spans="1:11" x14ac:dyDescent="0.3">
      <c r="A73" s="9" t="s">
        <v>129</v>
      </c>
      <c r="B73" s="28">
        <v>435</v>
      </c>
      <c r="C73" s="13">
        <v>1.55440927660628</v>
      </c>
      <c r="D73" s="11">
        <v>24233</v>
      </c>
      <c r="E73" s="9" t="s">
        <v>84</v>
      </c>
      <c r="F73" s="36">
        <v>-20</v>
      </c>
      <c r="G73" s="36">
        <v>-10</v>
      </c>
      <c r="H73" s="36">
        <v>5</v>
      </c>
      <c r="I73" s="36">
        <v>-25</v>
      </c>
      <c r="J73" s="28">
        <v>-50</v>
      </c>
      <c r="K73" s="14" t="s">
        <v>405</v>
      </c>
    </row>
    <row r="74" spans="1:11" ht="26.4" x14ac:dyDescent="0.3">
      <c r="A74" s="15" t="s">
        <v>130</v>
      </c>
      <c r="B74" s="29">
        <v>788</v>
      </c>
      <c r="C74" s="19">
        <v>0.56101560628673597</v>
      </c>
      <c r="D74" s="17">
        <v>54273</v>
      </c>
      <c r="E74" s="15" t="s">
        <v>84</v>
      </c>
      <c r="F74" s="37">
        <v>30</v>
      </c>
      <c r="G74" s="37">
        <v>5</v>
      </c>
      <c r="H74" s="37">
        <v>5</v>
      </c>
      <c r="I74" s="37">
        <v>5</v>
      </c>
      <c r="J74" s="29">
        <v>45</v>
      </c>
      <c r="K74" s="39" t="s">
        <v>402</v>
      </c>
    </row>
    <row r="75" spans="1:11" x14ac:dyDescent="0.3">
      <c r="A75" s="9" t="s">
        <v>131</v>
      </c>
      <c r="B75" s="28">
        <v>700</v>
      </c>
      <c r="C75" s="13">
        <v>0.394642426192583</v>
      </c>
      <c r="D75" s="11">
        <v>62155</v>
      </c>
      <c r="E75" s="9" t="s">
        <v>79</v>
      </c>
      <c r="F75" s="36">
        <v>15</v>
      </c>
      <c r="G75" s="36">
        <v>15</v>
      </c>
      <c r="H75" s="36">
        <v>-30</v>
      </c>
      <c r="I75" s="36">
        <v>5</v>
      </c>
      <c r="J75" s="28">
        <v>5</v>
      </c>
      <c r="K75" s="14" t="s">
        <v>405</v>
      </c>
    </row>
    <row r="76" spans="1:11" x14ac:dyDescent="0.3">
      <c r="A76" s="15" t="s">
        <v>132</v>
      </c>
      <c r="B76" s="29">
        <v>748</v>
      </c>
      <c r="C76" s="19">
        <v>0.41362202154281402</v>
      </c>
      <c r="D76" s="17">
        <v>45955</v>
      </c>
      <c r="E76" s="15" t="s">
        <v>95</v>
      </c>
      <c r="F76" s="37">
        <v>15</v>
      </c>
      <c r="G76" s="37">
        <v>5</v>
      </c>
      <c r="H76" s="37">
        <v>10</v>
      </c>
      <c r="I76" s="37">
        <v>5</v>
      </c>
      <c r="J76" s="29">
        <v>35</v>
      </c>
      <c r="K76" s="20" t="s">
        <v>405</v>
      </c>
    </row>
    <row r="77" spans="1:11" x14ac:dyDescent="0.3">
      <c r="A77" s="9" t="s">
        <v>133</v>
      </c>
      <c r="B77" s="28">
        <v>569</v>
      </c>
      <c r="C77" s="13">
        <v>0.21264488619302099</v>
      </c>
      <c r="D77" s="11">
        <v>66604</v>
      </c>
      <c r="E77" s="9" t="s">
        <v>84</v>
      </c>
      <c r="F77" s="36">
        <v>-20</v>
      </c>
      <c r="G77" s="36">
        <v>15</v>
      </c>
      <c r="H77" s="36">
        <v>5</v>
      </c>
      <c r="I77" s="36">
        <v>20</v>
      </c>
      <c r="J77" s="28">
        <v>20</v>
      </c>
      <c r="K77" s="14" t="s">
        <v>405</v>
      </c>
    </row>
    <row r="78" spans="1:11" x14ac:dyDescent="0.3">
      <c r="A78" s="15" t="s">
        <v>134</v>
      </c>
      <c r="B78" s="29">
        <v>316</v>
      </c>
      <c r="C78" s="19">
        <v>0.46192425106511498</v>
      </c>
      <c r="D78" s="17">
        <v>59618</v>
      </c>
      <c r="E78" s="15" t="s">
        <v>84</v>
      </c>
      <c r="F78" s="37">
        <v>-20</v>
      </c>
      <c r="G78" s="37">
        <v>5</v>
      </c>
      <c r="H78" s="37">
        <v>5</v>
      </c>
      <c r="I78" s="37">
        <v>5</v>
      </c>
      <c r="J78" s="29">
        <v>-5</v>
      </c>
      <c r="K78" s="20" t="s">
        <v>405</v>
      </c>
    </row>
    <row r="79" spans="1:11" x14ac:dyDescent="0.3">
      <c r="A79" s="9" t="s">
        <v>135</v>
      </c>
      <c r="B79" s="28">
        <v>568</v>
      </c>
      <c r="C79" s="13">
        <v>0.22118581118106201</v>
      </c>
      <c r="D79" s="11">
        <v>82121</v>
      </c>
      <c r="E79" s="9" t="s">
        <v>79</v>
      </c>
      <c r="F79" s="36">
        <v>-20</v>
      </c>
      <c r="G79" s="36">
        <v>15</v>
      </c>
      <c r="H79" s="36">
        <v>-30</v>
      </c>
      <c r="I79" s="36">
        <v>20</v>
      </c>
      <c r="J79" s="28">
        <v>-15</v>
      </c>
      <c r="K79" s="14" t="s">
        <v>405</v>
      </c>
    </row>
    <row r="80" spans="1:11" x14ac:dyDescent="0.3">
      <c r="A80" s="15" t="s">
        <v>136</v>
      </c>
      <c r="B80" s="29">
        <v>781</v>
      </c>
      <c r="C80" s="19">
        <v>0.75751787511938296</v>
      </c>
      <c r="D80" s="17">
        <v>38741</v>
      </c>
      <c r="E80" s="15" t="s">
        <v>79</v>
      </c>
      <c r="F80" s="37">
        <v>30</v>
      </c>
      <c r="G80" s="37">
        <v>5</v>
      </c>
      <c r="H80" s="37">
        <v>-30</v>
      </c>
      <c r="I80" s="37">
        <v>-25</v>
      </c>
      <c r="J80" s="29">
        <v>-20</v>
      </c>
      <c r="K80" s="20" t="s">
        <v>405</v>
      </c>
    </row>
    <row r="81" spans="1:11" x14ac:dyDescent="0.3">
      <c r="A81" s="9" t="s">
        <v>137</v>
      </c>
      <c r="B81" s="28">
        <v>518</v>
      </c>
      <c r="C81" s="13">
        <v>0.37154384335825602</v>
      </c>
      <c r="D81" s="11">
        <v>62461</v>
      </c>
      <c r="E81" s="9" t="s">
        <v>95</v>
      </c>
      <c r="F81" s="36">
        <v>-20</v>
      </c>
      <c r="G81" s="36">
        <v>15</v>
      </c>
      <c r="H81" s="36">
        <v>10</v>
      </c>
      <c r="I81" s="36">
        <v>5</v>
      </c>
      <c r="J81" s="28">
        <v>10</v>
      </c>
      <c r="K81" s="14" t="s">
        <v>405</v>
      </c>
    </row>
    <row r="82" spans="1:11" x14ac:dyDescent="0.3">
      <c r="A82" s="15" t="s">
        <v>138</v>
      </c>
      <c r="B82" s="29">
        <v>618</v>
      </c>
      <c r="C82" s="19">
        <v>0.66966033390903901</v>
      </c>
      <c r="D82" s="17">
        <v>34740</v>
      </c>
      <c r="E82" s="15" t="s">
        <v>84</v>
      </c>
      <c r="F82" s="37">
        <v>15</v>
      </c>
      <c r="G82" s="37">
        <v>5</v>
      </c>
      <c r="H82" s="37">
        <v>5</v>
      </c>
      <c r="I82" s="37">
        <v>-25</v>
      </c>
      <c r="J82" s="29">
        <v>0</v>
      </c>
      <c r="K82" s="20" t="s">
        <v>405</v>
      </c>
    </row>
    <row r="83" spans="1:11" x14ac:dyDescent="0.3">
      <c r="A83" s="9" t="s">
        <v>139</v>
      </c>
      <c r="B83" s="28">
        <v>537</v>
      </c>
      <c r="C83" s="13">
        <v>0.96065192083818396</v>
      </c>
      <c r="D83" s="11">
        <v>25770</v>
      </c>
      <c r="E83" s="9" t="s">
        <v>95</v>
      </c>
      <c r="F83" s="36">
        <v>-20</v>
      </c>
      <c r="G83" s="36">
        <v>-10</v>
      </c>
      <c r="H83" s="36">
        <v>10</v>
      </c>
      <c r="I83" s="36">
        <v>-25</v>
      </c>
      <c r="J83" s="28">
        <v>-45</v>
      </c>
      <c r="K83" s="14" t="s">
        <v>405</v>
      </c>
    </row>
    <row r="84" spans="1:11" x14ac:dyDescent="0.3">
      <c r="A84" s="15" t="s">
        <v>140</v>
      </c>
      <c r="B84" s="29">
        <v>844</v>
      </c>
      <c r="C84" s="19">
        <v>0.64945805722504801</v>
      </c>
      <c r="D84" s="17">
        <v>19467</v>
      </c>
      <c r="E84" s="15" t="s">
        <v>95</v>
      </c>
      <c r="F84" s="37">
        <v>30</v>
      </c>
      <c r="G84" s="37">
        <v>-10</v>
      </c>
      <c r="H84" s="37">
        <v>10</v>
      </c>
      <c r="I84" s="37">
        <v>-25</v>
      </c>
      <c r="J84" s="29">
        <v>5</v>
      </c>
      <c r="K84" s="20" t="s">
        <v>405</v>
      </c>
    </row>
    <row r="85" spans="1:11" x14ac:dyDescent="0.3">
      <c r="A85" s="9" t="s">
        <v>141</v>
      </c>
      <c r="B85" s="28">
        <v>584</v>
      </c>
      <c r="C85" s="13">
        <v>0.203581575548859</v>
      </c>
      <c r="D85" s="11">
        <v>58075</v>
      </c>
      <c r="E85" s="9" t="s">
        <v>79</v>
      </c>
      <c r="F85" s="36">
        <v>-20</v>
      </c>
      <c r="G85" s="36">
        <v>5</v>
      </c>
      <c r="H85" s="36">
        <v>-30</v>
      </c>
      <c r="I85" s="36">
        <v>20</v>
      </c>
      <c r="J85" s="28">
        <v>-25</v>
      </c>
      <c r="K85" s="14" t="s">
        <v>405</v>
      </c>
    </row>
    <row r="86" spans="1:11" x14ac:dyDescent="0.3">
      <c r="A86" s="15" t="s">
        <v>142</v>
      </c>
      <c r="B86" s="29">
        <v>336</v>
      </c>
      <c r="C86" s="19">
        <v>0.21882344022439501</v>
      </c>
      <c r="D86" s="17">
        <v>52764</v>
      </c>
      <c r="E86" s="15" t="s">
        <v>95</v>
      </c>
      <c r="F86" s="37">
        <v>-20</v>
      </c>
      <c r="G86" s="37">
        <v>5</v>
      </c>
      <c r="H86" s="37">
        <v>10</v>
      </c>
      <c r="I86" s="37">
        <v>20</v>
      </c>
      <c r="J86" s="29">
        <v>15</v>
      </c>
      <c r="K86" s="20" t="s">
        <v>405</v>
      </c>
    </row>
    <row r="87" spans="1:11" x14ac:dyDescent="0.3">
      <c r="A87" s="9" t="s">
        <v>143</v>
      </c>
      <c r="B87" s="28">
        <v>402</v>
      </c>
      <c r="C87" s="13">
        <v>0.66286728640164405</v>
      </c>
      <c r="D87" s="11">
        <v>42814</v>
      </c>
      <c r="E87" s="9" t="s">
        <v>95</v>
      </c>
      <c r="F87" s="36">
        <v>-20</v>
      </c>
      <c r="G87" s="36">
        <v>5</v>
      </c>
      <c r="H87" s="36">
        <v>10</v>
      </c>
      <c r="I87" s="36">
        <v>-25</v>
      </c>
      <c r="J87" s="28">
        <v>-30</v>
      </c>
      <c r="K87" s="14" t="s">
        <v>405</v>
      </c>
    </row>
    <row r="88" spans="1:11" x14ac:dyDescent="0.3">
      <c r="A88" s="15" t="s">
        <v>144</v>
      </c>
      <c r="B88" s="29">
        <v>729</v>
      </c>
      <c r="C88" s="19">
        <v>0.53143565414369398</v>
      </c>
      <c r="D88" s="17">
        <v>23397</v>
      </c>
      <c r="E88" s="15" t="s">
        <v>84</v>
      </c>
      <c r="F88" s="37">
        <v>15</v>
      </c>
      <c r="G88" s="37">
        <v>-10</v>
      </c>
      <c r="H88" s="37">
        <v>5</v>
      </c>
      <c r="I88" s="37">
        <v>5</v>
      </c>
      <c r="J88" s="29">
        <v>15</v>
      </c>
      <c r="K88" s="20" t="s">
        <v>405</v>
      </c>
    </row>
    <row r="89" spans="1:11" x14ac:dyDescent="0.3">
      <c r="A89" s="9" t="s">
        <v>145</v>
      </c>
      <c r="B89" s="28">
        <v>538</v>
      </c>
      <c r="C89" s="13">
        <v>0.33879023307436201</v>
      </c>
      <c r="D89" s="11">
        <v>39644</v>
      </c>
      <c r="E89" s="9" t="s">
        <v>95</v>
      </c>
      <c r="F89" s="36">
        <v>-20</v>
      </c>
      <c r="G89" s="36">
        <v>5</v>
      </c>
      <c r="H89" s="36">
        <v>10</v>
      </c>
      <c r="I89" s="36">
        <v>5</v>
      </c>
      <c r="J89" s="28">
        <v>0</v>
      </c>
      <c r="K89" s="14" t="s">
        <v>405</v>
      </c>
    </row>
    <row r="90" spans="1:11" x14ac:dyDescent="0.3">
      <c r="A90" s="15" t="s">
        <v>146</v>
      </c>
      <c r="B90" s="29">
        <v>424</v>
      </c>
      <c r="C90" s="19">
        <v>0.48540780248097298</v>
      </c>
      <c r="D90" s="17">
        <v>50061</v>
      </c>
      <c r="E90" s="15" t="s">
        <v>84</v>
      </c>
      <c r="F90" s="37">
        <v>-20</v>
      </c>
      <c r="G90" s="37">
        <v>5</v>
      </c>
      <c r="H90" s="37">
        <v>5</v>
      </c>
      <c r="I90" s="37">
        <v>5</v>
      </c>
      <c r="J90" s="29">
        <v>-5</v>
      </c>
      <c r="K90" s="20" t="s">
        <v>405</v>
      </c>
    </row>
    <row r="91" spans="1:11" x14ac:dyDescent="0.3">
      <c r="A91" s="9" t="s">
        <v>147</v>
      </c>
      <c r="B91" s="28">
        <v>487</v>
      </c>
      <c r="C91" s="13">
        <v>0.29054250541213</v>
      </c>
      <c r="D91" s="11">
        <v>61898</v>
      </c>
      <c r="E91" s="9" t="s">
        <v>84</v>
      </c>
      <c r="F91" s="36">
        <v>-20</v>
      </c>
      <c r="G91" s="36">
        <v>15</v>
      </c>
      <c r="H91" s="36">
        <v>5</v>
      </c>
      <c r="I91" s="36">
        <v>20</v>
      </c>
      <c r="J91" s="28">
        <v>20</v>
      </c>
      <c r="K91" s="14" t="s">
        <v>405</v>
      </c>
    </row>
    <row r="92" spans="1:11" x14ac:dyDescent="0.3">
      <c r="A92" s="15" t="s">
        <v>148</v>
      </c>
      <c r="B92" s="29">
        <v>555</v>
      </c>
      <c r="C92" s="19">
        <v>0.34093101784852903</v>
      </c>
      <c r="D92" s="17">
        <v>49752</v>
      </c>
      <c r="E92" s="15" t="s">
        <v>95</v>
      </c>
      <c r="F92" s="37">
        <v>-20</v>
      </c>
      <c r="G92" s="37">
        <v>5</v>
      </c>
      <c r="H92" s="37">
        <v>10</v>
      </c>
      <c r="I92" s="37">
        <v>5</v>
      </c>
      <c r="J92" s="29">
        <v>0</v>
      </c>
      <c r="K92" s="20" t="s">
        <v>405</v>
      </c>
    </row>
    <row r="93" spans="1:11" ht="26.4" x14ac:dyDescent="0.3">
      <c r="A93" s="9" t="s">
        <v>149</v>
      </c>
      <c r="B93" s="28">
        <v>829</v>
      </c>
      <c r="C93" s="13">
        <v>0.302486008069764</v>
      </c>
      <c r="D93" s="11">
        <v>53781</v>
      </c>
      <c r="E93" s="9" t="s">
        <v>95</v>
      </c>
      <c r="F93" s="36">
        <v>30</v>
      </c>
      <c r="G93" s="36">
        <v>5</v>
      </c>
      <c r="H93" s="36">
        <v>10</v>
      </c>
      <c r="I93" s="36">
        <v>5</v>
      </c>
      <c r="J93" s="28">
        <v>50</v>
      </c>
      <c r="K93" s="38" t="s">
        <v>402</v>
      </c>
    </row>
    <row r="94" spans="1:11" ht="26.4" x14ac:dyDescent="0.3">
      <c r="A94" s="15" t="s">
        <v>150</v>
      </c>
      <c r="B94" s="29">
        <v>691</v>
      </c>
      <c r="C94" s="19">
        <v>3.1448667658595997E-2</v>
      </c>
      <c r="D94" s="17">
        <v>44358</v>
      </c>
      <c r="E94" s="15" t="s">
        <v>84</v>
      </c>
      <c r="F94" s="37">
        <v>15</v>
      </c>
      <c r="G94" s="37">
        <v>5</v>
      </c>
      <c r="H94" s="37">
        <v>5</v>
      </c>
      <c r="I94" s="37">
        <v>20</v>
      </c>
      <c r="J94" s="29">
        <v>45</v>
      </c>
      <c r="K94" s="39" t="s">
        <v>402</v>
      </c>
    </row>
    <row r="95" spans="1:11" x14ac:dyDescent="0.3">
      <c r="A95" s="9" t="s">
        <v>151</v>
      </c>
      <c r="B95" s="28">
        <v>767</v>
      </c>
      <c r="C95" s="13">
        <v>0.16087777748629301</v>
      </c>
      <c r="D95" s="11">
        <v>76238</v>
      </c>
      <c r="E95" s="9" t="s">
        <v>95</v>
      </c>
      <c r="F95" s="36">
        <v>30</v>
      </c>
      <c r="G95" s="36">
        <v>15</v>
      </c>
      <c r="H95" s="36">
        <v>10</v>
      </c>
      <c r="I95" s="36">
        <v>20</v>
      </c>
      <c r="J95" s="28">
        <v>75</v>
      </c>
      <c r="K95" s="4" t="s">
        <v>399</v>
      </c>
    </row>
    <row r="96" spans="1:11" x14ac:dyDescent="0.3">
      <c r="A96" s="15" t="s">
        <v>152</v>
      </c>
      <c r="B96" s="29">
        <v>552</v>
      </c>
      <c r="C96" s="19">
        <v>0.84815412083165398</v>
      </c>
      <c r="D96" s="17">
        <v>34726</v>
      </c>
      <c r="E96" s="15" t="s">
        <v>84</v>
      </c>
      <c r="F96" s="37">
        <v>-20</v>
      </c>
      <c r="G96" s="37">
        <v>5</v>
      </c>
      <c r="H96" s="37">
        <v>5</v>
      </c>
      <c r="I96" s="37">
        <v>-25</v>
      </c>
      <c r="J96" s="29">
        <v>-35</v>
      </c>
      <c r="K96" s="20" t="s">
        <v>405</v>
      </c>
    </row>
    <row r="97" spans="1:11" x14ac:dyDescent="0.3">
      <c r="A97" s="9" t="s">
        <v>153</v>
      </c>
      <c r="B97" s="28">
        <v>475</v>
      </c>
      <c r="C97" s="13">
        <v>0.39697805674369202</v>
      </c>
      <c r="D97" s="11">
        <v>39511</v>
      </c>
      <c r="E97" s="9" t="s">
        <v>95</v>
      </c>
      <c r="F97" s="36">
        <v>-20</v>
      </c>
      <c r="G97" s="36">
        <v>5</v>
      </c>
      <c r="H97" s="36">
        <v>10</v>
      </c>
      <c r="I97" s="36">
        <v>5</v>
      </c>
      <c r="J97" s="28">
        <v>0</v>
      </c>
      <c r="K97" s="14" t="s">
        <v>405</v>
      </c>
    </row>
    <row r="98" spans="1:11" ht="26.4" x14ac:dyDescent="0.3">
      <c r="A98" s="15" t="s">
        <v>154</v>
      </c>
      <c r="B98" s="29">
        <v>765</v>
      </c>
      <c r="C98" s="19">
        <v>0.11254253197231</v>
      </c>
      <c r="D98" s="17">
        <v>42615</v>
      </c>
      <c r="E98" s="15" t="s">
        <v>84</v>
      </c>
      <c r="F98" s="37">
        <v>30</v>
      </c>
      <c r="G98" s="37">
        <v>5</v>
      </c>
      <c r="H98" s="37">
        <v>5</v>
      </c>
      <c r="I98" s="37">
        <v>20</v>
      </c>
      <c r="J98" s="29">
        <v>60</v>
      </c>
      <c r="K98" s="39" t="s">
        <v>402</v>
      </c>
    </row>
    <row r="99" spans="1:11" x14ac:dyDescent="0.3">
      <c r="A99" s="9" t="s">
        <v>155</v>
      </c>
      <c r="B99" s="28">
        <v>588</v>
      </c>
      <c r="C99" s="13">
        <v>0.20529402659053</v>
      </c>
      <c r="D99" s="11">
        <v>58141</v>
      </c>
      <c r="E99" s="9" t="s">
        <v>84</v>
      </c>
      <c r="F99" s="36">
        <v>-20</v>
      </c>
      <c r="G99" s="36">
        <v>5</v>
      </c>
      <c r="H99" s="36">
        <v>5</v>
      </c>
      <c r="I99" s="36">
        <v>20</v>
      </c>
      <c r="J99" s="28">
        <v>10</v>
      </c>
      <c r="K99" s="14" t="s">
        <v>405</v>
      </c>
    </row>
    <row r="100" spans="1:11" x14ac:dyDescent="0.3">
      <c r="A100" s="15" t="s">
        <v>156</v>
      </c>
      <c r="B100" s="29">
        <v>349</v>
      </c>
      <c r="C100" s="19">
        <v>0.664758694831043</v>
      </c>
      <c r="D100" s="17">
        <v>34417</v>
      </c>
      <c r="E100" s="15" t="s">
        <v>79</v>
      </c>
      <c r="F100" s="37">
        <v>-20</v>
      </c>
      <c r="G100" s="37">
        <v>5</v>
      </c>
      <c r="H100" s="37">
        <v>-30</v>
      </c>
      <c r="I100" s="37">
        <v>-25</v>
      </c>
      <c r="J100" s="29">
        <v>-70</v>
      </c>
      <c r="K100" s="20" t="s">
        <v>405</v>
      </c>
    </row>
    <row r="101" spans="1:11" x14ac:dyDescent="0.3">
      <c r="A101" s="9" t="s">
        <v>157</v>
      </c>
      <c r="B101" s="28">
        <v>303</v>
      </c>
      <c r="C101" s="13">
        <v>0.459101196249596</v>
      </c>
      <c r="D101" s="11">
        <v>49488</v>
      </c>
      <c r="E101" s="9" t="s">
        <v>95</v>
      </c>
      <c r="F101" s="36">
        <v>-20</v>
      </c>
      <c r="G101" s="36">
        <v>5</v>
      </c>
      <c r="H101" s="36">
        <v>10</v>
      </c>
      <c r="I101" s="36">
        <v>5</v>
      </c>
      <c r="J101" s="28">
        <v>0</v>
      </c>
      <c r="K101" s="14" t="s">
        <v>405</v>
      </c>
    </row>
    <row r="102" spans="1:11" ht="26.4" x14ac:dyDescent="0.3">
      <c r="A102" s="15" t="s">
        <v>158</v>
      </c>
      <c r="B102" s="29">
        <v>799</v>
      </c>
      <c r="C102" s="19">
        <v>0.33628082478942001</v>
      </c>
      <c r="D102" s="17">
        <v>52474</v>
      </c>
      <c r="E102" s="15" t="s">
        <v>84</v>
      </c>
      <c r="F102" s="37">
        <v>30</v>
      </c>
      <c r="G102" s="37">
        <v>5</v>
      </c>
      <c r="H102" s="37">
        <v>5</v>
      </c>
      <c r="I102" s="37">
        <v>5</v>
      </c>
      <c r="J102" s="29">
        <v>45</v>
      </c>
      <c r="K102" s="39" t="s">
        <v>402</v>
      </c>
    </row>
    <row r="103" spans="1:11" x14ac:dyDescent="0.3">
      <c r="A103" s="9" t="s">
        <v>159</v>
      </c>
      <c r="B103" s="28">
        <v>522</v>
      </c>
      <c r="C103" s="13">
        <v>0.36594669698117999</v>
      </c>
      <c r="D103" s="11">
        <v>39585</v>
      </c>
      <c r="E103" s="9" t="s">
        <v>84</v>
      </c>
      <c r="F103" s="36">
        <v>-20</v>
      </c>
      <c r="G103" s="36">
        <v>5</v>
      </c>
      <c r="H103" s="36">
        <v>5</v>
      </c>
      <c r="I103" s="36">
        <v>5</v>
      </c>
      <c r="J103" s="28">
        <v>-5</v>
      </c>
      <c r="K103" s="14" t="s">
        <v>405</v>
      </c>
    </row>
    <row r="104" spans="1:11" x14ac:dyDescent="0.3">
      <c r="A104" s="15" t="s">
        <v>160</v>
      </c>
      <c r="B104" s="29">
        <v>561</v>
      </c>
      <c r="C104" s="19">
        <v>0.159818016378526</v>
      </c>
      <c r="D104" s="17">
        <v>54950</v>
      </c>
      <c r="E104" s="15" t="s">
        <v>95</v>
      </c>
      <c r="F104" s="37">
        <v>-20</v>
      </c>
      <c r="G104" s="37">
        <v>5</v>
      </c>
      <c r="H104" s="37">
        <v>10</v>
      </c>
      <c r="I104" s="37">
        <v>20</v>
      </c>
      <c r="J104" s="29">
        <v>15</v>
      </c>
      <c r="K104" s="20" t="s">
        <v>405</v>
      </c>
    </row>
    <row r="105" spans="1:11" x14ac:dyDescent="0.3">
      <c r="A105" s="9" t="s">
        <v>161</v>
      </c>
      <c r="B105" s="28">
        <v>834</v>
      </c>
      <c r="C105" s="13">
        <v>0.65777026058538601</v>
      </c>
      <c r="D105" s="11">
        <v>34883</v>
      </c>
      <c r="E105" s="9" t="s">
        <v>95</v>
      </c>
      <c r="F105" s="36">
        <v>30</v>
      </c>
      <c r="G105" s="36">
        <v>5</v>
      </c>
      <c r="H105" s="36">
        <v>10</v>
      </c>
      <c r="I105" s="36">
        <v>-25</v>
      </c>
      <c r="J105" s="28">
        <v>20</v>
      </c>
      <c r="K105" s="14" t="s">
        <v>405</v>
      </c>
    </row>
    <row r="106" spans="1:11" x14ac:dyDescent="0.3">
      <c r="A106" s="15" t="s">
        <v>162</v>
      </c>
      <c r="B106" s="29">
        <v>675</v>
      </c>
      <c r="C106" s="19">
        <v>0.80324269041030005</v>
      </c>
      <c r="D106" s="17">
        <v>33244</v>
      </c>
      <c r="E106" s="15" t="s">
        <v>95</v>
      </c>
      <c r="F106" s="37">
        <v>15</v>
      </c>
      <c r="G106" s="37">
        <v>5</v>
      </c>
      <c r="H106" s="37">
        <v>10</v>
      </c>
      <c r="I106" s="37">
        <v>-25</v>
      </c>
      <c r="J106" s="29">
        <v>5</v>
      </c>
      <c r="K106" s="20" t="s">
        <v>405</v>
      </c>
    </row>
    <row r="107" spans="1:11" x14ac:dyDescent="0.3">
      <c r="A107" s="9" t="s">
        <v>163</v>
      </c>
      <c r="B107" s="28">
        <v>360</v>
      </c>
      <c r="C107" s="13">
        <v>0.58863168524488296</v>
      </c>
      <c r="D107" s="11">
        <v>51494</v>
      </c>
      <c r="E107" s="9" t="s">
        <v>79</v>
      </c>
      <c r="F107" s="36">
        <v>-20</v>
      </c>
      <c r="G107" s="36">
        <v>5</v>
      </c>
      <c r="H107" s="36">
        <v>-30</v>
      </c>
      <c r="I107" s="36">
        <v>5</v>
      </c>
      <c r="J107" s="28">
        <v>-40</v>
      </c>
      <c r="K107" s="14" t="s">
        <v>405</v>
      </c>
    </row>
    <row r="108" spans="1:11" x14ac:dyDescent="0.3">
      <c r="A108" s="15" t="s">
        <v>164</v>
      </c>
      <c r="B108" s="29">
        <v>655</v>
      </c>
      <c r="C108" s="19">
        <v>0.44275812619502902</v>
      </c>
      <c r="D108" s="17">
        <v>25104</v>
      </c>
      <c r="E108" s="15" t="s">
        <v>95</v>
      </c>
      <c r="F108" s="37">
        <v>15</v>
      </c>
      <c r="G108" s="37">
        <v>-10</v>
      </c>
      <c r="H108" s="37">
        <v>10</v>
      </c>
      <c r="I108" s="37">
        <v>5</v>
      </c>
      <c r="J108" s="29">
        <v>20</v>
      </c>
      <c r="K108" s="20" t="s">
        <v>405</v>
      </c>
    </row>
    <row r="109" spans="1:11" x14ac:dyDescent="0.3">
      <c r="A109" s="9" t="s">
        <v>165</v>
      </c>
      <c r="B109" s="28">
        <v>323</v>
      </c>
      <c r="C109" s="13">
        <v>1.7345748261162199</v>
      </c>
      <c r="D109" s="11">
        <v>17828</v>
      </c>
      <c r="E109" s="9" t="s">
        <v>79</v>
      </c>
      <c r="F109" s="36">
        <v>-20</v>
      </c>
      <c r="G109" s="36">
        <v>-10</v>
      </c>
      <c r="H109" s="36">
        <v>-30</v>
      </c>
      <c r="I109" s="36">
        <v>-25</v>
      </c>
      <c r="J109" s="28">
        <v>-85</v>
      </c>
      <c r="K109" s="14" t="s">
        <v>405</v>
      </c>
    </row>
    <row r="110" spans="1:11" x14ac:dyDescent="0.3">
      <c r="A110" s="15" t="s">
        <v>166</v>
      </c>
      <c r="B110" s="29">
        <v>592</v>
      </c>
      <c r="C110" s="19">
        <v>0.33706373292868003</v>
      </c>
      <c r="D110" s="17">
        <v>57992</v>
      </c>
      <c r="E110" s="15" t="s">
        <v>95</v>
      </c>
      <c r="F110" s="37">
        <v>-20</v>
      </c>
      <c r="G110" s="37">
        <v>5</v>
      </c>
      <c r="H110" s="37">
        <v>10</v>
      </c>
      <c r="I110" s="37">
        <v>5</v>
      </c>
      <c r="J110" s="29">
        <v>0</v>
      </c>
      <c r="K110" s="20" t="s">
        <v>405</v>
      </c>
    </row>
    <row r="111" spans="1:11" x14ac:dyDescent="0.3">
      <c r="A111" s="9" t="s">
        <v>167</v>
      </c>
      <c r="B111" s="28">
        <v>655</v>
      </c>
      <c r="C111" s="13">
        <v>0.30749220354453499</v>
      </c>
      <c r="D111" s="11">
        <v>65735</v>
      </c>
      <c r="E111" s="9" t="s">
        <v>79</v>
      </c>
      <c r="F111" s="36">
        <v>15</v>
      </c>
      <c r="G111" s="36">
        <v>15</v>
      </c>
      <c r="H111" s="36">
        <v>-30</v>
      </c>
      <c r="I111" s="36">
        <v>5</v>
      </c>
      <c r="J111" s="28">
        <v>5</v>
      </c>
      <c r="K111" s="14" t="s">
        <v>405</v>
      </c>
    </row>
    <row r="112" spans="1:11" x14ac:dyDescent="0.3">
      <c r="A112" s="15" t="s">
        <v>168</v>
      </c>
      <c r="B112" s="29">
        <v>328</v>
      </c>
      <c r="C112" s="19">
        <v>0.63140146053304802</v>
      </c>
      <c r="D112" s="17">
        <v>42998</v>
      </c>
      <c r="E112" s="15" t="s">
        <v>95</v>
      </c>
      <c r="F112" s="37">
        <v>-20</v>
      </c>
      <c r="G112" s="37">
        <v>5</v>
      </c>
      <c r="H112" s="37">
        <v>10</v>
      </c>
      <c r="I112" s="37">
        <v>-25</v>
      </c>
      <c r="J112" s="29">
        <v>-30</v>
      </c>
      <c r="K112" s="20" t="s">
        <v>405</v>
      </c>
    </row>
    <row r="113" spans="1:11" x14ac:dyDescent="0.3">
      <c r="A113" s="9" t="s">
        <v>169</v>
      </c>
      <c r="B113" s="28">
        <v>656</v>
      </c>
      <c r="C113" s="13">
        <v>0.39200580304659999</v>
      </c>
      <c r="D113" s="11">
        <v>39979</v>
      </c>
      <c r="E113" s="9" t="s">
        <v>79</v>
      </c>
      <c r="F113" s="36">
        <v>15</v>
      </c>
      <c r="G113" s="36">
        <v>5</v>
      </c>
      <c r="H113" s="36">
        <v>-30</v>
      </c>
      <c r="I113" s="36">
        <v>5</v>
      </c>
      <c r="J113" s="28">
        <v>-5</v>
      </c>
      <c r="K113" s="14" t="s">
        <v>405</v>
      </c>
    </row>
    <row r="114" spans="1:11" ht="26.4" x14ac:dyDescent="0.3">
      <c r="A114" s="15" t="s">
        <v>170</v>
      </c>
      <c r="B114" s="29">
        <v>664</v>
      </c>
      <c r="C114" s="19">
        <v>4.1331837807107898E-2</v>
      </c>
      <c r="D114" s="17">
        <v>65083</v>
      </c>
      <c r="E114" s="15" t="s">
        <v>84</v>
      </c>
      <c r="F114" s="37">
        <v>15</v>
      </c>
      <c r="G114" s="37">
        <v>15</v>
      </c>
      <c r="H114" s="37">
        <v>5</v>
      </c>
      <c r="I114" s="37">
        <v>20</v>
      </c>
      <c r="J114" s="29">
        <v>55</v>
      </c>
      <c r="K114" s="39" t="s">
        <v>402</v>
      </c>
    </row>
    <row r="115" spans="1:11" x14ac:dyDescent="0.3">
      <c r="A115" s="9" t="s">
        <v>171</v>
      </c>
      <c r="B115" s="28">
        <v>708</v>
      </c>
      <c r="C115" s="13">
        <v>0.78127190175823502</v>
      </c>
      <c r="D115" s="11">
        <v>32817</v>
      </c>
      <c r="E115" s="9" t="s">
        <v>79</v>
      </c>
      <c r="F115" s="36">
        <v>15</v>
      </c>
      <c r="G115" s="36">
        <v>5</v>
      </c>
      <c r="H115" s="36">
        <v>-30</v>
      </c>
      <c r="I115" s="36">
        <v>-25</v>
      </c>
      <c r="J115" s="28">
        <v>-35</v>
      </c>
      <c r="K115" s="14" t="s">
        <v>405</v>
      </c>
    </row>
    <row r="116" spans="1:11" x14ac:dyDescent="0.3">
      <c r="A116" s="15" t="s">
        <v>172</v>
      </c>
      <c r="B116" s="29">
        <v>565</v>
      </c>
      <c r="C116" s="19">
        <v>0.77122745270567505</v>
      </c>
      <c r="D116" s="17">
        <v>29549</v>
      </c>
      <c r="E116" s="15" t="s">
        <v>79</v>
      </c>
      <c r="F116" s="37">
        <v>-20</v>
      </c>
      <c r="G116" s="37">
        <v>-10</v>
      </c>
      <c r="H116" s="37">
        <v>-30</v>
      </c>
      <c r="I116" s="37">
        <v>-25</v>
      </c>
      <c r="J116" s="29">
        <v>-85</v>
      </c>
      <c r="K116" s="20" t="s">
        <v>405</v>
      </c>
    </row>
    <row r="117" spans="1:11" x14ac:dyDescent="0.3">
      <c r="A117" s="9" t="s">
        <v>173</v>
      </c>
      <c r="B117" s="28">
        <v>590</v>
      </c>
      <c r="C117" s="13">
        <v>0.282405345211581</v>
      </c>
      <c r="D117" s="11">
        <v>60615</v>
      </c>
      <c r="E117" s="9" t="s">
        <v>84</v>
      </c>
      <c r="F117" s="36">
        <v>-20</v>
      </c>
      <c r="G117" s="36">
        <v>15</v>
      </c>
      <c r="H117" s="36">
        <v>5</v>
      </c>
      <c r="I117" s="36">
        <v>20</v>
      </c>
      <c r="J117" s="28">
        <v>20</v>
      </c>
      <c r="K117" s="14" t="s">
        <v>405</v>
      </c>
    </row>
    <row r="118" spans="1:11" x14ac:dyDescent="0.3">
      <c r="A118" s="15" t="s">
        <v>174</v>
      </c>
      <c r="B118" s="29">
        <v>452</v>
      </c>
      <c r="C118" s="19">
        <v>0.49824477421413799</v>
      </c>
      <c r="D118" s="17">
        <v>50136</v>
      </c>
      <c r="E118" s="15" t="s">
        <v>95</v>
      </c>
      <c r="F118" s="37">
        <v>-20</v>
      </c>
      <c r="G118" s="37">
        <v>5</v>
      </c>
      <c r="H118" s="37">
        <v>10</v>
      </c>
      <c r="I118" s="37">
        <v>5</v>
      </c>
      <c r="J118" s="29">
        <v>0</v>
      </c>
      <c r="K118" s="20" t="s">
        <v>405</v>
      </c>
    </row>
    <row r="119" spans="1:11" x14ac:dyDescent="0.3">
      <c r="A119" s="9" t="s">
        <v>175</v>
      </c>
      <c r="B119" s="28">
        <v>518</v>
      </c>
      <c r="C119" s="13">
        <v>0.40343776999681702</v>
      </c>
      <c r="D119" s="11">
        <v>65973</v>
      </c>
      <c r="E119" s="9" t="s">
        <v>84</v>
      </c>
      <c r="F119" s="36">
        <v>-20</v>
      </c>
      <c r="G119" s="36">
        <v>15</v>
      </c>
      <c r="H119" s="36">
        <v>5</v>
      </c>
      <c r="I119" s="36">
        <v>5</v>
      </c>
      <c r="J119" s="28">
        <v>5</v>
      </c>
      <c r="K119" s="14" t="s">
        <v>405</v>
      </c>
    </row>
    <row r="120" spans="1:11" x14ac:dyDescent="0.3">
      <c r="A120" s="15" t="s">
        <v>176</v>
      </c>
      <c r="B120" s="29">
        <v>472</v>
      </c>
      <c r="C120" s="19">
        <v>0.44166294143942803</v>
      </c>
      <c r="D120" s="17">
        <v>17896</v>
      </c>
      <c r="E120" s="15" t="s">
        <v>84</v>
      </c>
      <c r="F120" s="37">
        <v>-20</v>
      </c>
      <c r="G120" s="37">
        <v>-10</v>
      </c>
      <c r="H120" s="37">
        <v>5</v>
      </c>
      <c r="I120" s="37">
        <v>5</v>
      </c>
      <c r="J120" s="29">
        <v>-20</v>
      </c>
      <c r="K120" s="20" t="s">
        <v>405</v>
      </c>
    </row>
    <row r="121" spans="1:11" x14ac:dyDescent="0.3">
      <c r="A121" s="9" t="s">
        <v>177</v>
      </c>
      <c r="B121" s="28">
        <v>311</v>
      </c>
      <c r="C121" s="13">
        <v>0.69610210417385299</v>
      </c>
      <c r="D121" s="11">
        <v>28990</v>
      </c>
      <c r="E121" s="9" t="s">
        <v>84</v>
      </c>
      <c r="F121" s="36">
        <v>-20</v>
      </c>
      <c r="G121" s="36">
        <v>-10</v>
      </c>
      <c r="H121" s="36">
        <v>5</v>
      </c>
      <c r="I121" s="36">
        <v>-25</v>
      </c>
      <c r="J121" s="28">
        <v>-50</v>
      </c>
      <c r="K121" s="14" t="s">
        <v>405</v>
      </c>
    </row>
    <row r="122" spans="1:11" x14ac:dyDescent="0.3">
      <c r="A122" s="15" t="s">
        <v>178</v>
      </c>
      <c r="B122" s="29">
        <v>815</v>
      </c>
      <c r="C122" s="19">
        <v>3.5427661057453E-2</v>
      </c>
      <c r="D122" s="17">
        <v>50215</v>
      </c>
      <c r="E122" s="15" t="s">
        <v>79</v>
      </c>
      <c r="F122" s="37">
        <v>30</v>
      </c>
      <c r="G122" s="37">
        <v>5</v>
      </c>
      <c r="H122" s="37">
        <v>-30</v>
      </c>
      <c r="I122" s="37">
        <v>20</v>
      </c>
      <c r="J122" s="29">
        <v>25</v>
      </c>
      <c r="K122" s="20" t="s">
        <v>405</v>
      </c>
    </row>
    <row r="123" spans="1:11" x14ac:dyDescent="0.3">
      <c r="A123" s="9" t="s">
        <v>179</v>
      </c>
      <c r="B123" s="28">
        <v>661</v>
      </c>
      <c r="C123" s="13">
        <v>0.33786545810006202</v>
      </c>
      <c r="D123" s="11">
        <v>56265</v>
      </c>
      <c r="E123" s="9" t="s">
        <v>84</v>
      </c>
      <c r="F123" s="36">
        <v>15</v>
      </c>
      <c r="G123" s="36">
        <v>5</v>
      </c>
      <c r="H123" s="36">
        <v>5</v>
      </c>
      <c r="I123" s="36">
        <v>5</v>
      </c>
      <c r="J123" s="28">
        <v>30</v>
      </c>
      <c r="K123" s="14" t="s">
        <v>405</v>
      </c>
    </row>
    <row r="124" spans="1:11" x14ac:dyDescent="0.3">
      <c r="A124" s="15" t="s">
        <v>180</v>
      </c>
      <c r="B124" s="29">
        <v>776</v>
      </c>
      <c r="C124" s="19">
        <v>0.271397815166255</v>
      </c>
      <c r="D124" s="17">
        <v>62705</v>
      </c>
      <c r="E124" s="15" t="s">
        <v>95</v>
      </c>
      <c r="F124" s="37">
        <v>30</v>
      </c>
      <c r="G124" s="37">
        <v>15</v>
      </c>
      <c r="H124" s="37">
        <v>10</v>
      </c>
      <c r="I124" s="37">
        <v>20</v>
      </c>
      <c r="J124" s="29">
        <v>75</v>
      </c>
      <c r="K124" s="7" t="s">
        <v>399</v>
      </c>
    </row>
    <row r="125" spans="1:11" x14ac:dyDescent="0.3">
      <c r="A125" s="9" t="s">
        <v>181</v>
      </c>
      <c r="B125" s="28">
        <v>381</v>
      </c>
      <c r="C125" s="13">
        <v>0.45484778229637801</v>
      </c>
      <c r="D125" s="11">
        <v>52622</v>
      </c>
      <c r="E125" s="9" t="s">
        <v>79</v>
      </c>
      <c r="F125" s="36">
        <v>-20</v>
      </c>
      <c r="G125" s="36">
        <v>5</v>
      </c>
      <c r="H125" s="36">
        <v>-30</v>
      </c>
      <c r="I125" s="36">
        <v>5</v>
      </c>
      <c r="J125" s="28">
        <v>-40</v>
      </c>
      <c r="K125" s="14" t="s">
        <v>405</v>
      </c>
    </row>
    <row r="126" spans="1:11" x14ac:dyDescent="0.3">
      <c r="A126" s="15" t="s">
        <v>182</v>
      </c>
      <c r="B126" s="29">
        <v>639</v>
      </c>
      <c r="C126" s="19">
        <v>0.21757194587383299</v>
      </c>
      <c r="D126" s="17">
        <v>52470</v>
      </c>
      <c r="E126" s="15" t="s">
        <v>79</v>
      </c>
      <c r="F126" s="37">
        <v>15</v>
      </c>
      <c r="G126" s="37">
        <v>5</v>
      </c>
      <c r="H126" s="37">
        <v>-30</v>
      </c>
      <c r="I126" s="37">
        <v>20</v>
      </c>
      <c r="J126" s="29">
        <v>10</v>
      </c>
      <c r="K126" s="20" t="s">
        <v>405</v>
      </c>
    </row>
    <row r="127" spans="1:11" x14ac:dyDescent="0.3">
      <c r="A127" s="9" t="s">
        <v>183</v>
      </c>
      <c r="B127" s="28">
        <v>740</v>
      </c>
      <c r="C127" s="13">
        <v>0.37654838198328799</v>
      </c>
      <c r="D127" s="11">
        <v>44159</v>
      </c>
      <c r="E127" s="9" t="s">
        <v>84</v>
      </c>
      <c r="F127" s="36">
        <v>15</v>
      </c>
      <c r="G127" s="36">
        <v>5</v>
      </c>
      <c r="H127" s="36">
        <v>5</v>
      </c>
      <c r="I127" s="36">
        <v>5</v>
      </c>
      <c r="J127" s="28">
        <v>30</v>
      </c>
      <c r="K127" s="14" t="s">
        <v>405</v>
      </c>
    </row>
    <row r="128" spans="1:11" x14ac:dyDescent="0.3">
      <c r="A128" s="15" t="s">
        <v>184</v>
      </c>
      <c r="B128" s="29">
        <v>525</v>
      </c>
      <c r="C128" s="19">
        <v>-7.7547925917903202E-2</v>
      </c>
      <c r="D128" s="17">
        <v>73864</v>
      </c>
      <c r="E128" s="15" t="s">
        <v>79</v>
      </c>
      <c r="F128" s="37">
        <v>-20</v>
      </c>
      <c r="G128" s="37">
        <v>15</v>
      </c>
      <c r="H128" s="37">
        <v>-30</v>
      </c>
      <c r="I128" s="37">
        <v>20</v>
      </c>
      <c r="J128" s="29">
        <v>-15</v>
      </c>
      <c r="K128" s="20" t="s">
        <v>405</v>
      </c>
    </row>
    <row r="129" spans="1:11" x14ac:dyDescent="0.3">
      <c r="A129" s="9" t="s">
        <v>185</v>
      </c>
      <c r="B129" s="28">
        <v>670</v>
      </c>
      <c r="C129" s="13">
        <v>0.73113137049768395</v>
      </c>
      <c r="D129" s="11">
        <v>33455</v>
      </c>
      <c r="E129" s="9" t="s">
        <v>95</v>
      </c>
      <c r="F129" s="36">
        <v>15</v>
      </c>
      <c r="G129" s="36">
        <v>5</v>
      </c>
      <c r="H129" s="36">
        <v>10</v>
      </c>
      <c r="I129" s="36">
        <v>-25</v>
      </c>
      <c r="J129" s="28">
        <v>5</v>
      </c>
      <c r="K129" s="14" t="s">
        <v>405</v>
      </c>
    </row>
    <row r="130" spans="1:11" x14ac:dyDescent="0.3">
      <c r="A130" s="15" t="s">
        <v>186</v>
      </c>
      <c r="B130" s="29">
        <v>327</v>
      </c>
      <c r="C130" s="19">
        <v>0.34834341428184501</v>
      </c>
      <c r="D130" s="17">
        <v>55385</v>
      </c>
      <c r="E130" s="15" t="s">
        <v>79</v>
      </c>
      <c r="F130" s="37">
        <v>-20</v>
      </c>
      <c r="G130" s="37">
        <v>5</v>
      </c>
      <c r="H130" s="37">
        <v>-30</v>
      </c>
      <c r="I130" s="37">
        <v>5</v>
      </c>
      <c r="J130" s="29">
        <v>-40</v>
      </c>
      <c r="K130" s="20" t="s">
        <v>405</v>
      </c>
    </row>
    <row r="131" spans="1:11" x14ac:dyDescent="0.3">
      <c r="A131" s="9" t="s">
        <v>187</v>
      </c>
      <c r="B131" s="28">
        <v>315</v>
      </c>
      <c r="C131" s="13">
        <v>0.588295483614246</v>
      </c>
      <c r="D131" s="11">
        <v>35183</v>
      </c>
      <c r="E131" s="9" t="s">
        <v>84</v>
      </c>
      <c r="F131" s="36">
        <v>-20</v>
      </c>
      <c r="G131" s="36">
        <v>5</v>
      </c>
      <c r="H131" s="36">
        <v>5</v>
      </c>
      <c r="I131" s="36">
        <v>5</v>
      </c>
      <c r="J131" s="28">
        <v>-5</v>
      </c>
      <c r="K131" s="14" t="s">
        <v>405</v>
      </c>
    </row>
    <row r="132" spans="1:11" x14ac:dyDescent="0.3">
      <c r="A132" s="15" t="s">
        <v>188</v>
      </c>
      <c r="B132" s="29">
        <v>576</v>
      </c>
      <c r="C132" s="19">
        <v>0.13879218227568901</v>
      </c>
      <c r="D132" s="17">
        <v>58022</v>
      </c>
      <c r="E132" s="15" t="s">
        <v>84</v>
      </c>
      <c r="F132" s="37">
        <v>-20</v>
      </c>
      <c r="G132" s="37">
        <v>5</v>
      </c>
      <c r="H132" s="37">
        <v>5</v>
      </c>
      <c r="I132" s="37">
        <v>20</v>
      </c>
      <c r="J132" s="29">
        <v>10</v>
      </c>
      <c r="K132" s="20" t="s">
        <v>405</v>
      </c>
    </row>
    <row r="133" spans="1:11" x14ac:dyDescent="0.3">
      <c r="A133" s="9" t="s">
        <v>189</v>
      </c>
      <c r="B133" s="28">
        <v>632</v>
      </c>
      <c r="C133" s="13">
        <v>0.67307301495137195</v>
      </c>
      <c r="D133" s="11">
        <v>34445</v>
      </c>
      <c r="E133" s="9" t="s">
        <v>84</v>
      </c>
      <c r="F133" s="36">
        <v>15</v>
      </c>
      <c r="G133" s="36">
        <v>5</v>
      </c>
      <c r="H133" s="36">
        <v>5</v>
      </c>
      <c r="I133" s="36">
        <v>-25</v>
      </c>
      <c r="J133" s="28">
        <v>0</v>
      </c>
      <c r="K133" s="14" t="s">
        <v>405</v>
      </c>
    </row>
    <row r="134" spans="1:11" x14ac:dyDescent="0.3">
      <c r="A134" s="15" t="s">
        <v>190</v>
      </c>
      <c r="B134" s="29">
        <v>782</v>
      </c>
      <c r="C134" s="19">
        <v>0.54322481482087104</v>
      </c>
      <c r="D134" s="17">
        <v>61157</v>
      </c>
      <c r="E134" s="15" t="s">
        <v>79</v>
      </c>
      <c r="F134" s="37">
        <v>30</v>
      </c>
      <c r="G134" s="37">
        <v>15</v>
      </c>
      <c r="H134" s="37">
        <v>-30</v>
      </c>
      <c r="I134" s="37">
        <v>5</v>
      </c>
      <c r="J134" s="29">
        <v>20</v>
      </c>
      <c r="K134" s="20" t="s">
        <v>405</v>
      </c>
    </row>
    <row r="135" spans="1:11" x14ac:dyDescent="0.3">
      <c r="A135" s="9" t="s">
        <v>191</v>
      </c>
      <c r="B135" s="28">
        <v>587</v>
      </c>
      <c r="C135" s="13">
        <v>0.35836461437250899</v>
      </c>
      <c r="D135" s="11">
        <v>51682</v>
      </c>
      <c r="E135" s="9" t="s">
        <v>84</v>
      </c>
      <c r="F135" s="36">
        <v>-20</v>
      </c>
      <c r="G135" s="36">
        <v>5</v>
      </c>
      <c r="H135" s="36">
        <v>5</v>
      </c>
      <c r="I135" s="36">
        <v>5</v>
      </c>
      <c r="J135" s="28">
        <v>-5</v>
      </c>
      <c r="K135" s="14" t="s">
        <v>405</v>
      </c>
    </row>
    <row r="136" spans="1:11" x14ac:dyDescent="0.3">
      <c r="A136" s="15" t="s">
        <v>192</v>
      </c>
      <c r="B136" s="29">
        <v>413</v>
      </c>
      <c r="C136" s="19">
        <v>0.330852041486149</v>
      </c>
      <c r="D136" s="17">
        <v>76170</v>
      </c>
      <c r="E136" s="15" t="s">
        <v>79</v>
      </c>
      <c r="F136" s="37">
        <v>-20</v>
      </c>
      <c r="G136" s="37">
        <v>15</v>
      </c>
      <c r="H136" s="37">
        <v>-30</v>
      </c>
      <c r="I136" s="37">
        <v>5</v>
      </c>
      <c r="J136" s="29">
        <v>-30</v>
      </c>
      <c r="K136" s="20" t="s">
        <v>405</v>
      </c>
    </row>
    <row r="137" spans="1:11" x14ac:dyDescent="0.3">
      <c r="A137" s="9" t="s">
        <v>193</v>
      </c>
      <c r="B137" s="28">
        <v>337</v>
      </c>
      <c r="C137" s="13">
        <v>0.28470022933275102</v>
      </c>
      <c r="D137" s="11">
        <v>45785</v>
      </c>
      <c r="E137" s="9" t="s">
        <v>84</v>
      </c>
      <c r="F137" s="36">
        <v>-20</v>
      </c>
      <c r="G137" s="36">
        <v>5</v>
      </c>
      <c r="H137" s="36">
        <v>5</v>
      </c>
      <c r="I137" s="36">
        <v>20</v>
      </c>
      <c r="J137" s="28">
        <v>10</v>
      </c>
      <c r="K137" s="14" t="s">
        <v>405</v>
      </c>
    </row>
    <row r="138" spans="1:11" ht="26.4" x14ac:dyDescent="0.3">
      <c r="A138" s="15" t="s">
        <v>194</v>
      </c>
      <c r="B138" s="29">
        <v>753</v>
      </c>
      <c r="C138" s="19">
        <v>0.34386419271295299</v>
      </c>
      <c r="D138" s="17">
        <v>56374</v>
      </c>
      <c r="E138" s="15" t="s">
        <v>84</v>
      </c>
      <c r="F138" s="37">
        <v>30</v>
      </c>
      <c r="G138" s="37">
        <v>5</v>
      </c>
      <c r="H138" s="37">
        <v>5</v>
      </c>
      <c r="I138" s="37">
        <v>5</v>
      </c>
      <c r="J138" s="29">
        <v>45</v>
      </c>
      <c r="K138" s="39" t="s">
        <v>402</v>
      </c>
    </row>
    <row r="139" spans="1:11" x14ac:dyDescent="0.3">
      <c r="A139" s="9" t="s">
        <v>195</v>
      </c>
      <c r="B139" s="28">
        <v>465</v>
      </c>
      <c r="C139" s="13">
        <v>0.20229735021537701</v>
      </c>
      <c r="D139" s="11">
        <v>38305</v>
      </c>
      <c r="E139" s="9" t="s">
        <v>84</v>
      </c>
      <c r="F139" s="36">
        <v>-20</v>
      </c>
      <c r="G139" s="36">
        <v>5</v>
      </c>
      <c r="H139" s="36">
        <v>5</v>
      </c>
      <c r="I139" s="36">
        <v>20</v>
      </c>
      <c r="J139" s="28">
        <v>10</v>
      </c>
      <c r="K139" s="14" t="s">
        <v>405</v>
      </c>
    </row>
    <row r="140" spans="1:11" x14ac:dyDescent="0.3">
      <c r="A140" s="15" t="s">
        <v>196</v>
      </c>
      <c r="B140" s="29">
        <v>504</v>
      </c>
      <c r="C140" s="19">
        <v>0.57582855391620302</v>
      </c>
      <c r="D140" s="17">
        <v>45682</v>
      </c>
      <c r="E140" s="15" t="s">
        <v>95</v>
      </c>
      <c r="F140" s="37">
        <v>-20</v>
      </c>
      <c r="G140" s="37">
        <v>5</v>
      </c>
      <c r="H140" s="37">
        <v>10</v>
      </c>
      <c r="I140" s="37">
        <v>5</v>
      </c>
      <c r="J140" s="29">
        <v>0</v>
      </c>
      <c r="K140" s="20" t="s">
        <v>405</v>
      </c>
    </row>
    <row r="141" spans="1:11" x14ac:dyDescent="0.3">
      <c r="A141" s="9" t="s">
        <v>197</v>
      </c>
      <c r="B141" s="28">
        <v>544</v>
      </c>
      <c r="C141" s="13">
        <v>0.412495638351491</v>
      </c>
      <c r="D141" s="11">
        <v>51586</v>
      </c>
      <c r="E141" s="9" t="s">
        <v>95</v>
      </c>
      <c r="F141" s="36">
        <v>-20</v>
      </c>
      <c r="G141" s="36">
        <v>5</v>
      </c>
      <c r="H141" s="36">
        <v>10</v>
      </c>
      <c r="I141" s="36">
        <v>5</v>
      </c>
      <c r="J141" s="28">
        <v>0</v>
      </c>
      <c r="K141" s="14" t="s">
        <v>405</v>
      </c>
    </row>
    <row r="142" spans="1:11" x14ac:dyDescent="0.3">
      <c r="A142" s="15" t="s">
        <v>198</v>
      </c>
      <c r="B142" s="29">
        <v>632</v>
      </c>
      <c r="C142" s="19">
        <v>0.378192824450022</v>
      </c>
      <c r="D142" s="17">
        <v>27092</v>
      </c>
      <c r="E142" s="15" t="s">
        <v>84</v>
      </c>
      <c r="F142" s="37">
        <v>15</v>
      </c>
      <c r="G142" s="37">
        <v>-10</v>
      </c>
      <c r="H142" s="37">
        <v>5</v>
      </c>
      <c r="I142" s="37">
        <v>5</v>
      </c>
      <c r="J142" s="29">
        <v>15</v>
      </c>
      <c r="K142" s="20" t="s">
        <v>405</v>
      </c>
    </row>
    <row r="143" spans="1:11" x14ac:dyDescent="0.3">
      <c r="A143" s="9" t="s">
        <v>199</v>
      </c>
      <c r="B143" s="28">
        <v>695</v>
      </c>
      <c r="C143" s="13">
        <v>0.472751948775056</v>
      </c>
      <c r="D143" s="11">
        <v>28736</v>
      </c>
      <c r="E143" s="9" t="s">
        <v>84</v>
      </c>
      <c r="F143" s="36">
        <v>15</v>
      </c>
      <c r="G143" s="36">
        <v>-10</v>
      </c>
      <c r="H143" s="36">
        <v>5</v>
      </c>
      <c r="I143" s="36">
        <v>5</v>
      </c>
      <c r="J143" s="28">
        <v>15</v>
      </c>
      <c r="K143" s="14" t="s">
        <v>405</v>
      </c>
    </row>
    <row r="144" spans="1:11" x14ac:dyDescent="0.3">
      <c r="A144" s="15" t="s">
        <v>200</v>
      </c>
      <c r="B144" s="29">
        <v>579</v>
      </c>
      <c r="C144" s="19">
        <v>0.34728295874436399</v>
      </c>
      <c r="D144" s="17">
        <v>58998</v>
      </c>
      <c r="E144" s="15" t="s">
        <v>79</v>
      </c>
      <c r="F144" s="37">
        <v>-20</v>
      </c>
      <c r="G144" s="37">
        <v>5</v>
      </c>
      <c r="H144" s="37">
        <v>-30</v>
      </c>
      <c r="I144" s="37">
        <v>5</v>
      </c>
      <c r="J144" s="29">
        <v>-40</v>
      </c>
      <c r="K144" s="20" t="s">
        <v>405</v>
      </c>
    </row>
    <row r="145" spans="1:11" x14ac:dyDescent="0.3">
      <c r="A145" s="9" t="s">
        <v>201</v>
      </c>
      <c r="B145" s="28">
        <v>420</v>
      </c>
      <c r="C145" s="13">
        <v>0.57292559978246804</v>
      </c>
      <c r="D145" s="11">
        <v>47809</v>
      </c>
      <c r="E145" s="9" t="s">
        <v>79</v>
      </c>
      <c r="F145" s="36">
        <v>-20</v>
      </c>
      <c r="G145" s="36">
        <v>5</v>
      </c>
      <c r="H145" s="36">
        <v>-30</v>
      </c>
      <c r="I145" s="36">
        <v>5</v>
      </c>
      <c r="J145" s="28">
        <v>-40</v>
      </c>
      <c r="K145" s="14" t="s">
        <v>405</v>
      </c>
    </row>
    <row r="146" spans="1:11" x14ac:dyDescent="0.3">
      <c r="A146" s="15" t="s">
        <v>202</v>
      </c>
      <c r="B146" s="29">
        <v>558</v>
      </c>
      <c r="C146" s="19">
        <v>0.77448547657276301</v>
      </c>
      <c r="D146" s="17">
        <v>41106</v>
      </c>
      <c r="E146" s="15" t="s">
        <v>95</v>
      </c>
      <c r="F146" s="37">
        <v>-20</v>
      </c>
      <c r="G146" s="37">
        <v>5</v>
      </c>
      <c r="H146" s="37">
        <v>10</v>
      </c>
      <c r="I146" s="37">
        <v>-25</v>
      </c>
      <c r="J146" s="29">
        <v>-30</v>
      </c>
      <c r="K146" s="20" t="s">
        <v>405</v>
      </c>
    </row>
    <row r="147" spans="1:11" x14ac:dyDescent="0.3">
      <c r="A147" s="9" t="s">
        <v>203</v>
      </c>
      <c r="B147" s="28">
        <v>709</v>
      </c>
      <c r="C147" s="13">
        <v>0.48599306714597501</v>
      </c>
      <c r="D147" s="11">
        <v>38945</v>
      </c>
      <c r="E147" s="9" t="s">
        <v>79</v>
      </c>
      <c r="F147" s="36">
        <v>15</v>
      </c>
      <c r="G147" s="36">
        <v>5</v>
      </c>
      <c r="H147" s="36">
        <v>-30</v>
      </c>
      <c r="I147" s="36">
        <v>5</v>
      </c>
      <c r="J147" s="28">
        <v>-5</v>
      </c>
      <c r="K147" s="14" t="s">
        <v>405</v>
      </c>
    </row>
    <row r="148" spans="1:11" x14ac:dyDescent="0.3">
      <c r="A148" s="15" t="s">
        <v>204</v>
      </c>
      <c r="B148" s="29">
        <v>609</v>
      </c>
      <c r="C148" s="19">
        <v>0.22981555043898499</v>
      </c>
      <c r="D148" s="17">
        <v>39523</v>
      </c>
      <c r="E148" s="15" t="s">
        <v>79</v>
      </c>
      <c r="F148" s="37">
        <v>15</v>
      </c>
      <c r="G148" s="37">
        <v>5</v>
      </c>
      <c r="H148" s="37">
        <v>-30</v>
      </c>
      <c r="I148" s="37">
        <v>20</v>
      </c>
      <c r="J148" s="29">
        <v>10</v>
      </c>
      <c r="K148" s="20" t="s">
        <v>405</v>
      </c>
    </row>
    <row r="149" spans="1:11" x14ac:dyDescent="0.3">
      <c r="A149" s="9" t="s">
        <v>205</v>
      </c>
      <c r="B149" s="28">
        <v>367</v>
      </c>
      <c r="C149" s="13">
        <v>0.42385079709023399</v>
      </c>
      <c r="D149" s="11">
        <v>51688</v>
      </c>
      <c r="E149" s="9" t="s">
        <v>79</v>
      </c>
      <c r="F149" s="36">
        <v>-20</v>
      </c>
      <c r="G149" s="36">
        <v>5</v>
      </c>
      <c r="H149" s="36">
        <v>-30</v>
      </c>
      <c r="I149" s="36">
        <v>5</v>
      </c>
      <c r="J149" s="28">
        <v>-40</v>
      </c>
      <c r="K149" s="14" t="s">
        <v>405</v>
      </c>
    </row>
    <row r="150" spans="1:11" x14ac:dyDescent="0.3">
      <c r="A150" s="15" t="s">
        <v>206</v>
      </c>
      <c r="B150" s="29">
        <v>413</v>
      </c>
      <c r="C150" s="19">
        <v>0.60482391135577696</v>
      </c>
      <c r="D150" s="17">
        <v>56676</v>
      </c>
      <c r="E150" s="15" t="s">
        <v>79</v>
      </c>
      <c r="F150" s="37">
        <v>-20</v>
      </c>
      <c r="G150" s="37">
        <v>5</v>
      </c>
      <c r="H150" s="37">
        <v>-30</v>
      </c>
      <c r="I150" s="37">
        <v>-25</v>
      </c>
      <c r="J150" s="29">
        <v>-70</v>
      </c>
      <c r="K150" s="20" t="s">
        <v>405</v>
      </c>
    </row>
    <row r="151" spans="1:11" x14ac:dyDescent="0.3">
      <c r="A151" s="9" t="s">
        <v>207</v>
      </c>
      <c r="B151" s="28">
        <v>519</v>
      </c>
      <c r="C151" s="13">
        <v>0.37694704049844202</v>
      </c>
      <c r="D151" s="11">
        <v>18618</v>
      </c>
      <c r="E151" s="9" t="s">
        <v>95</v>
      </c>
      <c r="F151" s="36">
        <v>-20</v>
      </c>
      <c r="G151" s="36">
        <v>-10</v>
      </c>
      <c r="H151" s="36">
        <v>10</v>
      </c>
      <c r="I151" s="36">
        <v>5</v>
      </c>
      <c r="J151" s="28">
        <v>-15</v>
      </c>
      <c r="K151" s="14" t="s">
        <v>405</v>
      </c>
    </row>
    <row r="152" spans="1:11" x14ac:dyDescent="0.3">
      <c r="A152" s="15" t="s">
        <v>208</v>
      </c>
      <c r="B152" s="29">
        <v>519</v>
      </c>
      <c r="C152" s="19">
        <v>0.17365471324428</v>
      </c>
      <c r="D152" s="17">
        <v>71193</v>
      </c>
      <c r="E152" s="15" t="s">
        <v>95</v>
      </c>
      <c r="F152" s="37">
        <v>-20</v>
      </c>
      <c r="G152" s="37">
        <v>15</v>
      </c>
      <c r="H152" s="37">
        <v>10</v>
      </c>
      <c r="I152" s="37">
        <v>20</v>
      </c>
      <c r="J152" s="29">
        <v>25</v>
      </c>
      <c r="K152" s="20" t="s">
        <v>405</v>
      </c>
    </row>
    <row r="153" spans="1:11" x14ac:dyDescent="0.3">
      <c r="A153" s="9" t="s">
        <v>209</v>
      </c>
      <c r="B153" s="28">
        <v>772</v>
      </c>
      <c r="C153" s="13">
        <v>0.354904029889057</v>
      </c>
      <c r="D153" s="11">
        <v>70126</v>
      </c>
      <c r="E153" s="9" t="s">
        <v>79</v>
      </c>
      <c r="F153" s="36">
        <v>30</v>
      </c>
      <c r="G153" s="36">
        <v>15</v>
      </c>
      <c r="H153" s="36">
        <v>-30</v>
      </c>
      <c r="I153" s="36">
        <v>5</v>
      </c>
      <c r="J153" s="28">
        <v>20</v>
      </c>
      <c r="K153" s="14" t="s">
        <v>405</v>
      </c>
    </row>
    <row r="154" spans="1:11" x14ac:dyDescent="0.3">
      <c r="A154" s="15" t="s">
        <v>210</v>
      </c>
      <c r="B154" s="29">
        <v>685</v>
      </c>
      <c r="C154" s="19">
        <v>1.41150265957447</v>
      </c>
      <c r="D154" s="17">
        <v>15040</v>
      </c>
      <c r="E154" s="15" t="s">
        <v>79</v>
      </c>
      <c r="F154" s="37">
        <v>15</v>
      </c>
      <c r="G154" s="37">
        <v>-10</v>
      </c>
      <c r="H154" s="37">
        <v>-30</v>
      </c>
      <c r="I154" s="37">
        <v>-25</v>
      </c>
      <c r="J154" s="29">
        <v>-50</v>
      </c>
      <c r="K154" s="20" t="s">
        <v>405</v>
      </c>
    </row>
    <row r="155" spans="1:11" x14ac:dyDescent="0.3">
      <c r="A155" s="9" t="s">
        <v>211</v>
      </c>
      <c r="B155" s="28">
        <v>597</v>
      </c>
      <c r="C155" s="13">
        <v>0.235936580729835</v>
      </c>
      <c r="D155" s="11">
        <v>66289</v>
      </c>
      <c r="E155" s="9" t="s">
        <v>95</v>
      </c>
      <c r="F155" s="36">
        <v>-20</v>
      </c>
      <c r="G155" s="36">
        <v>15</v>
      </c>
      <c r="H155" s="36">
        <v>10</v>
      </c>
      <c r="I155" s="36">
        <v>20</v>
      </c>
      <c r="J155" s="28">
        <v>25</v>
      </c>
      <c r="K155" s="14" t="s">
        <v>405</v>
      </c>
    </row>
    <row r="156" spans="1:11" x14ac:dyDescent="0.3">
      <c r="A156" s="15" t="s">
        <v>212</v>
      </c>
      <c r="B156" s="29">
        <v>552</v>
      </c>
      <c r="C156" s="19">
        <v>0.33057361609041802</v>
      </c>
      <c r="D156" s="17">
        <v>65828</v>
      </c>
      <c r="E156" s="15" t="s">
        <v>84</v>
      </c>
      <c r="F156" s="37">
        <v>-20</v>
      </c>
      <c r="G156" s="37">
        <v>15</v>
      </c>
      <c r="H156" s="37">
        <v>5</v>
      </c>
      <c r="I156" s="37">
        <v>5</v>
      </c>
      <c r="J156" s="29">
        <v>5</v>
      </c>
      <c r="K156" s="20" t="s">
        <v>405</v>
      </c>
    </row>
    <row r="157" spans="1:11" x14ac:dyDescent="0.3">
      <c r="A157" s="9" t="s">
        <v>213</v>
      </c>
      <c r="B157" s="28">
        <v>704</v>
      </c>
      <c r="C157" s="13">
        <v>0.55632211490391403</v>
      </c>
      <c r="D157" s="11">
        <v>50007</v>
      </c>
      <c r="E157" s="9" t="s">
        <v>79</v>
      </c>
      <c r="F157" s="36">
        <v>15</v>
      </c>
      <c r="G157" s="36">
        <v>5</v>
      </c>
      <c r="H157" s="36">
        <v>-30</v>
      </c>
      <c r="I157" s="36">
        <v>5</v>
      </c>
      <c r="J157" s="28">
        <v>-5</v>
      </c>
      <c r="K157" s="14" t="s">
        <v>405</v>
      </c>
    </row>
    <row r="158" spans="1:11" x14ac:dyDescent="0.3">
      <c r="A158" s="15" t="s">
        <v>214</v>
      </c>
      <c r="B158" s="29">
        <v>791</v>
      </c>
      <c r="C158" s="19">
        <v>0.62906816842380997</v>
      </c>
      <c r="D158" s="17">
        <v>30542</v>
      </c>
      <c r="E158" s="15" t="s">
        <v>84</v>
      </c>
      <c r="F158" s="37">
        <v>30</v>
      </c>
      <c r="G158" s="37">
        <v>5</v>
      </c>
      <c r="H158" s="37">
        <v>5</v>
      </c>
      <c r="I158" s="37">
        <v>-25</v>
      </c>
      <c r="J158" s="29">
        <v>15</v>
      </c>
      <c r="K158" s="20" t="s">
        <v>405</v>
      </c>
    </row>
    <row r="159" spans="1:11" x14ac:dyDescent="0.3">
      <c r="A159" s="9" t="s">
        <v>215</v>
      </c>
      <c r="B159" s="28">
        <v>656</v>
      </c>
      <c r="C159" s="13">
        <v>0.28380450113448202</v>
      </c>
      <c r="D159" s="11">
        <v>65228</v>
      </c>
      <c r="E159" s="9" t="s">
        <v>79</v>
      </c>
      <c r="F159" s="36">
        <v>15</v>
      </c>
      <c r="G159" s="36">
        <v>15</v>
      </c>
      <c r="H159" s="36">
        <v>-30</v>
      </c>
      <c r="I159" s="36">
        <v>20</v>
      </c>
      <c r="J159" s="28">
        <v>20</v>
      </c>
      <c r="K159" s="14" t="s">
        <v>405</v>
      </c>
    </row>
    <row r="160" spans="1:11" x14ac:dyDescent="0.3">
      <c r="A160" s="15" t="s">
        <v>216</v>
      </c>
      <c r="B160" s="29">
        <v>727</v>
      </c>
      <c r="C160" s="19">
        <v>0.53279289379500705</v>
      </c>
      <c r="D160" s="17">
        <v>46382</v>
      </c>
      <c r="E160" s="15" t="s">
        <v>95</v>
      </c>
      <c r="F160" s="37">
        <v>15</v>
      </c>
      <c r="G160" s="37">
        <v>5</v>
      </c>
      <c r="H160" s="37">
        <v>10</v>
      </c>
      <c r="I160" s="37">
        <v>5</v>
      </c>
      <c r="J160" s="29">
        <v>35</v>
      </c>
      <c r="K160" s="20" t="s">
        <v>405</v>
      </c>
    </row>
    <row r="161" spans="1:11" x14ac:dyDescent="0.3">
      <c r="A161" s="9" t="s">
        <v>217</v>
      </c>
      <c r="B161" s="28">
        <v>514</v>
      </c>
      <c r="C161" s="13">
        <v>0.306286813318909</v>
      </c>
      <c r="D161" s="11">
        <v>58233</v>
      </c>
      <c r="E161" s="9" t="s">
        <v>79</v>
      </c>
      <c r="F161" s="36">
        <v>-20</v>
      </c>
      <c r="G161" s="36">
        <v>5</v>
      </c>
      <c r="H161" s="36">
        <v>-30</v>
      </c>
      <c r="I161" s="36">
        <v>5</v>
      </c>
      <c r="J161" s="28">
        <v>-40</v>
      </c>
      <c r="K161" s="14" t="s">
        <v>405</v>
      </c>
    </row>
    <row r="162" spans="1:11" x14ac:dyDescent="0.3">
      <c r="A162" s="15" t="s">
        <v>218</v>
      </c>
      <c r="B162" s="29">
        <v>679</v>
      </c>
      <c r="C162" s="19">
        <v>0.34987032945922603</v>
      </c>
      <c r="D162" s="17">
        <v>83288</v>
      </c>
      <c r="E162" s="15" t="s">
        <v>84</v>
      </c>
      <c r="F162" s="37">
        <v>15</v>
      </c>
      <c r="G162" s="37">
        <v>15</v>
      </c>
      <c r="H162" s="37">
        <v>5</v>
      </c>
      <c r="I162" s="37">
        <v>5</v>
      </c>
      <c r="J162" s="29">
        <v>40</v>
      </c>
      <c r="K162" s="20" t="s">
        <v>405</v>
      </c>
    </row>
    <row r="163" spans="1:11" x14ac:dyDescent="0.3">
      <c r="A163" s="9" t="s">
        <v>219</v>
      </c>
      <c r="B163" s="28">
        <v>513</v>
      </c>
      <c r="C163" s="13">
        <v>0.673398043809736</v>
      </c>
      <c r="D163" s="11">
        <v>53778</v>
      </c>
      <c r="E163" s="9" t="s">
        <v>95</v>
      </c>
      <c r="F163" s="36">
        <v>-20</v>
      </c>
      <c r="G163" s="36">
        <v>5</v>
      </c>
      <c r="H163" s="36">
        <v>10</v>
      </c>
      <c r="I163" s="36">
        <v>-25</v>
      </c>
      <c r="J163" s="28">
        <v>-30</v>
      </c>
      <c r="K163" s="14" t="s">
        <v>405</v>
      </c>
    </row>
    <row r="164" spans="1:11" x14ac:dyDescent="0.3">
      <c r="A164" s="15" t="s">
        <v>220</v>
      </c>
      <c r="B164" s="29">
        <v>397</v>
      </c>
      <c r="C164" s="19">
        <v>0.25978014872292299</v>
      </c>
      <c r="D164" s="17">
        <v>49488</v>
      </c>
      <c r="E164" s="15" t="s">
        <v>79</v>
      </c>
      <c r="F164" s="37">
        <v>-20</v>
      </c>
      <c r="G164" s="37">
        <v>5</v>
      </c>
      <c r="H164" s="37">
        <v>-30</v>
      </c>
      <c r="I164" s="37">
        <v>20</v>
      </c>
      <c r="J164" s="29">
        <v>-25</v>
      </c>
      <c r="K164" s="20" t="s">
        <v>405</v>
      </c>
    </row>
    <row r="165" spans="1:11" x14ac:dyDescent="0.3">
      <c r="A165" s="9" t="s">
        <v>221</v>
      </c>
      <c r="B165" s="28">
        <v>827</v>
      </c>
      <c r="C165" s="13">
        <v>0.22240014233609101</v>
      </c>
      <c r="D165" s="11">
        <v>44964</v>
      </c>
      <c r="E165" s="9" t="s">
        <v>79</v>
      </c>
      <c r="F165" s="36">
        <v>30</v>
      </c>
      <c r="G165" s="36">
        <v>5</v>
      </c>
      <c r="H165" s="36">
        <v>-30</v>
      </c>
      <c r="I165" s="36">
        <v>20</v>
      </c>
      <c r="J165" s="28">
        <v>25</v>
      </c>
      <c r="K165" s="14" t="s">
        <v>405</v>
      </c>
    </row>
    <row r="166" spans="1:11" x14ac:dyDescent="0.3">
      <c r="A166" s="15" t="s">
        <v>222</v>
      </c>
      <c r="B166" s="29">
        <v>827</v>
      </c>
      <c r="C166" s="19">
        <v>0.60207558048115695</v>
      </c>
      <c r="D166" s="17">
        <v>38158</v>
      </c>
      <c r="E166" s="15" t="s">
        <v>95</v>
      </c>
      <c r="F166" s="37">
        <v>30</v>
      </c>
      <c r="G166" s="37">
        <v>5</v>
      </c>
      <c r="H166" s="37">
        <v>10</v>
      </c>
      <c r="I166" s="37">
        <v>-25</v>
      </c>
      <c r="J166" s="29">
        <v>20</v>
      </c>
      <c r="K166" s="20" t="s">
        <v>405</v>
      </c>
    </row>
    <row r="167" spans="1:11" x14ac:dyDescent="0.3">
      <c r="A167" s="9" t="s">
        <v>223</v>
      </c>
      <c r="B167" s="28">
        <v>834</v>
      </c>
      <c r="C167" s="13">
        <v>0.17195851474284099</v>
      </c>
      <c r="D167" s="11">
        <v>56502</v>
      </c>
      <c r="E167" s="9" t="s">
        <v>79</v>
      </c>
      <c r="F167" s="36">
        <v>30</v>
      </c>
      <c r="G167" s="36">
        <v>5</v>
      </c>
      <c r="H167" s="36">
        <v>-30</v>
      </c>
      <c r="I167" s="36">
        <v>20</v>
      </c>
      <c r="J167" s="28">
        <v>25</v>
      </c>
      <c r="K167" s="14" t="s">
        <v>405</v>
      </c>
    </row>
    <row r="168" spans="1:11" ht="26.4" x14ac:dyDescent="0.3">
      <c r="A168" s="15" t="s">
        <v>224</v>
      </c>
      <c r="B168" s="29">
        <v>848</v>
      </c>
      <c r="C168" s="19">
        <v>0.25268405919438702</v>
      </c>
      <c r="D168" s="17">
        <v>37909</v>
      </c>
      <c r="E168" s="15" t="s">
        <v>95</v>
      </c>
      <c r="F168" s="37">
        <v>30</v>
      </c>
      <c r="G168" s="37">
        <v>5</v>
      </c>
      <c r="H168" s="37">
        <v>10</v>
      </c>
      <c r="I168" s="37">
        <v>20</v>
      </c>
      <c r="J168" s="29">
        <v>65</v>
      </c>
      <c r="K168" s="39" t="s">
        <v>402</v>
      </c>
    </row>
    <row r="169" spans="1:11" x14ac:dyDescent="0.3">
      <c r="A169" s="9" t="s">
        <v>225</v>
      </c>
      <c r="B169" s="28">
        <v>627</v>
      </c>
      <c r="C169" s="13">
        <v>7.2866149369544095E-2</v>
      </c>
      <c r="D169" s="11">
        <v>49488</v>
      </c>
      <c r="E169" s="9" t="s">
        <v>79</v>
      </c>
      <c r="F169" s="36">
        <v>15</v>
      </c>
      <c r="G169" s="36">
        <v>5</v>
      </c>
      <c r="H169" s="36">
        <v>-30</v>
      </c>
      <c r="I169" s="36">
        <v>20</v>
      </c>
      <c r="J169" s="28">
        <v>10</v>
      </c>
      <c r="K169" s="14" t="s">
        <v>405</v>
      </c>
    </row>
    <row r="170" spans="1:11" x14ac:dyDescent="0.3">
      <c r="A170" s="15" t="s">
        <v>226</v>
      </c>
      <c r="B170" s="29">
        <v>464</v>
      </c>
      <c r="C170" s="19">
        <v>0.55124617687251898</v>
      </c>
      <c r="D170" s="17">
        <v>30734</v>
      </c>
      <c r="E170" s="15" t="s">
        <v>95</v>
      </c>
      <c r="F170" s="37">
        <v>-20</v>
      </c>
      <c r="G170" s="37">
        <v>5</v>
      </c>
      <c r="H170" s="37">
        <v>10</v>
      </c>
      <c r="I170" s="37">
        <v>5</v>
      </c>
      <c r="J170" s="29">
        <v>0</v>
      </c>
      <c r="K170" s="20" t="s">
        <v>405</v>
      </c>
    </row>
    <row r="171" spans="1:11" x14ac:dyDescent="0.3">
      <c r="A171" s="9" t="s">
        <v>227</v>
      </c>
      <c r="B171" s="28">
        <v>415</v>
      </c>
      <c r="C171" s="13">
        <v>0.41100397759220297</v>
      </c>
      <c r="D171" s="11">
        <v>48019</v>
      </c>
      <c r="E171" s="9" t="s">
        <v>79</v>
      </c>
      <c r="F171" s="36">
        <v>-20</v>
      </c>
      <c r="G171" s="36">
        <v>5</v>
      </c>
      <c r="H171" s="36">
        <v>-30</v>
      </c>
      <c r="I171" s="36">
        <v>5</v>
      </c>
      <c r="J171" s="28">
        <v>-40</v>
      </c>
      <c r="K171" s="14" t="s">
        <v>405</v>
      </c>
    </row>
    <row r="172" spans="1:11" x14ac:dyDescent="0.3">
      <c r="A172" s="15" t="s">
        <v>228</v>
      </c>
      <c r="B172" s="29">
        <v>449</v>
      </c>
      <c r="C172" s="19">
        <v>0.30124783954720702</v>
      </c>
      <c r="D172" s="17">
        <v>52651</v>
      </c>
      <c r="E172" s="15" t="s">
        <v>95</v>
      </c>
      <c r="F172" s="37">
        <v>-20</v>
      </c>
      <c r="G172" s="37">
        <v>5</v>
      </c>
      <c r="H172" s="37">
        <v>10</v>
      </c>
      <c r="I172" s="37">
        <v>5</v>
      </c>
      <c r="J172" s="29">
        <v>0</v>
      </c>
      <c r="K172" s="20" t="s">
        <v>405</v>
      </c>
    </row>
    <row r="173" spans="1:11" x14ac:dyDescent="0.3">
      <c r="A173" s="9" t="s">
        <v>229</v>
      </c>
      <c r="B173" s="28">
        <v>817</v>
      </c>
      <c r="C173" s="13">
        <v>3.1993215460526301</v>
      </c>
      <c r="D173" s="11">
        <v>9728</v>
      </c>
      <c r="E173" s="9" t="s">
        <v>95</v>
      </c>
      <c r="F173" s="36">
        <v>30</v>
      </c>
      <c r="G173" s="36">
        <v>-10</v>
      </c>
      <c r="H173" s="36">
        <v>10</v>
      </c>
      <c r="I173" s="36">
        <v>-25</v>
      </c>
      <c r="J173" s="28">
        <v>5</v>
      </c>
      <c r="K173" s="14" t="s">
        <v>405</v>
      </c>
    </row>
    <row r="174" spans="1:11" x14ac:dyDescent="0.3">
      <c r="A174" s="15" t="s">
        <v>230</v>
      </c>
      <c r="B174" s="29">
        <v>331</v>
      </c>
      <c r="C174" s="19">
        <v>0.56642668942739505</v>
      </c>
      <c r="D174" s="17">
        <v>53894</v>
      </c>
      <c r="E174" s="15" t="s">
        <v>79</v>
      </c>
      <c r="F174" s="37">
        <v>-20</v>
      </c>
      <c r="G174" s="37">
        <v>5</v>
      </c>
      <c r="H174" s="37">
        <v>-30</v>
      </c>
      <c r="I174" s="37">
        <v>5</v>
      </c>
      <c r="J174" s="29">
        <v>-40</v>
      </c>
      <c r="K174" s="20" t="s">
        <v>405</v>
      </c>
    </row>
    <row r="175" spans="1:11" x14ac:dyDescent="0.3">
      <c r="A175" s="9" t="s">
        <v>231</v>
      </c>
      <c r="B175" s="28">
        <v>592</v>
      </c>
      <c r="C175" s="13">
        <v>0.71847751145719296</v>
      </c>
      <c r="D175" s="11">
        <v>49314</v>
      </c>
      <c r="E175" s="9" t="s">
        <v>95</v>
      </c>
      <c r="F175" s="36">
        <v>-20</v>
      </c>
      <c r="G175" s="36">
        <v>5</v>
      </c>
      <c r="H175" s="36">
        <v>10</v>
      </c>
      <c r="I175" s="36">
        <v>-25</v>
      </c>
      <c r="J175" s="28">
        <v>-30</v>
      </c>
      <c r="K175" s="14" t="s">
        <v>405</v>
      </c>
    </row>
    <row r="176" spans="1:11" x14ac:dyDescent="0.3">
      <c r="A176" s="15" t="s">
        <v>232</v>
      </c>
      <c r="B176" s="29">
        <v>476</v>
      </c>
      <c r="C176" s="19">
        <v>0.52879948085658701</v>
      </c>
      <c r="D176" s="17">
        <v>38525</v>
      </c>
      <c r="E176" s="15" t="s">
        <v>79</v>
      </c>
      <c r="F176" s="37">
        <v>-20</v>
      </c>
      <c r="G176" s="37">
        <v>5</v>
      </c>
      <c r="H176" s="37">
        <v>-30</v>
      </c>
      <c r="I176" s="37">
        <v>5</v>
      </c>
      <c r="J176" s="29">
        <v>-40</v>
      </c>
      <c r="K176" s="20" t="s">
        <v>405</v>
      </c>
    </row>
    <row r="177" spans="1:11" x14ac:dyDescent="0.3">
      <c r="A177" s="9" t="s">
        <v>233</v>
      </c>
      <c r="B177" s="28">
        <v>360</v>
      </c>
      <c r="C177" s="13">
        <v>0.36642255902721699</v>
      </c>
      <c r="D177" s="11">
        <v>80429</v>
      </c>
      <c r="E177" s="9" t="s">
        <v>79</v>
      </c>
      <c r="F177" s="36">
        <v>-20</v>
      </c>
      <c r="G177" s="36">
        <v>15</v>
      </c>
      <c r="H177" s="36">
        <v>-30</v>
      </c>
      <c r="I177" s="36">
        <v>5</v>
      </c>
      <c r="J177" s="28">
        <v>-30</v>
      </c>
      <c r="K177" s="14" t="s">
        <v>405</v>
      </c>
    </row>
    <row r="178" spans="1:11" x14ac:dyDescent="0.3">
      <c r="A178" s="15" t="s">
        <v>234</v>
      </c>
      <c r="B178" s="29">
        <v>715</v>
      </c>
      <c r="C178" s="19">
        <v>0.34905323329760601</v>
      </c>
      <c r="D178" s="17">
        <v>64377</v>
      </c>
      <c r="E178" s="15" t="s">
        <v>79</v>
      </c>
      <c r="F178" s="37">
        <v>15</v>
      </c>
      <c r="G178" s="37">
        <v>15</v>
      </c>
      <c r="H178" s="37">
        <v>-30</v>
      </c>
      <c r="I178" s="37">
        <v>5</v>
      </c>
      <c r="J178" s="29">
        <v>5</v>
      </c>
      <c r="K178" s="20" t="s">
        <v>405</v>
      </c>
    </row>
    <row r="179" spans="1:11" x14ac:dyDescent="0.3">
      <c r="A179" s="9" t="s">
        <v>235</v>
      </c>
      <c r="B179" s="28">
        <v>579</v>
      </c>
      <c r="C179" s="13">
        <v>0.64573523275913502</v>
      </c>
      <c r="D179" s="11">
        <v>33554</v>
      </c>
      <c r="E179" s="9" t="s">
        <v>95</v>
      </c>
      <c r="F179" s="36">
        <v>-20</v>
      </c>
      <c r="G179" s="36">
        <v>5</v>
      </c>
      <c r="H179" s="36">
        <v>10</v>
      </c>
      <c r="I179" s="36">
        <v>-25</v>
      </c>
      <c r="J179" s="28">
        <v>-30</v>
      </c>
      <c r="K179" s="14" t="s">
        <v>405</v>
      </c>
    </row>
    <row r="180" spans="1:11" x14ac:dyDescent="0.3">
      <c r="A180" s="15" t="s">
        <v>236</v>
      </c>
      <c r="B180" s="29">
        <v>306</v>
      </c>
      <c r="C180" s="19">
        <v>0.25986831591395798</v>
      </c>
      <c r="D180" s="17">
        <v>62574</v>
      </c>
      <c r="E180" s="15" t="s">
        <v>79</v>
      </c>
      <c r="F180" s="37">
        <v>-20</v>
      </c>
      <c r="G180" s="37">
        <v>15</v>
      </c>
      <c r="H180" s="37">
        <v>-30</v>
      </c>
      <c r="I180" s="37">
        <v>20</v>
      </c>
      <c r="J180" s="29">
        <v>-15</v>
      </c>
      <c r="K180" s="20" t="s">
        <v>405</v>
      </c>
    </row>
    <row r="181" spans="1:11" x14ac:dyDescent="0.3">
      <c r="A181" s="9" t="s">
        <v>237</v>
      </c>
      <c r="B181" s="28">
        <v>384</v>
      </c>
      <c r="C181" s="13">
        <v>2.75969534128475E-2</v>
      </c>
      <c r="D181" s="11">
        <v>68667</v>
      </c>
      <c r="E181" s="9" t="s">
        <v>95</v>
      </c>
      <c r="F181" s="36">
        <v>-20</v>
      </c>
      <c r="G181" s="36">
        <v>15</v>
      </c>
      <c r="H181" s="36">
        <v>10</v>
      </c>
      <c r="I181" s="36">
        <v>20</v>
      </c>
      <c r="J181" s="28">
        <v>25</v>
      </c>
      <c r="K181" s="14" t="s">
        <v>405</v>
      </c>
    </row>
    <row r="182" spans="1:11" x14ac:dyDescent="0.3">
      <c r="A182" s="15" t="s">
        <v>238</v>
      </c>
      <c r="B182" s="29">
        <v>697</v>
      </c>
      <c r="C182" s="19">
        <v>0.48283955367449</v>
      </c>
      <c r="D182" s="17">
        <v>51980</v>
      </c>
      <c r="E182" s="15" t="s">
        <v>84</v>
      </c>
      <c r="F182" s="37">
        <v>15</v>
      </c>
      <c r="G182" s="37">
        <v>5</v>
      </c>
      <c r="H182" s="37">
        <v>5</v>
      </c>
      <c r="I182" s="37">
        <v>5</v>
      </c>
      <c r="J182" s="29">
        <v>30</v>
      </c>
      <c r="K182" s="20" t="s">
        <v>405</v>
      </c>
    </row>
    <row r="183" spans="1:11" x14ac:dyDescent="0.3">
      <c r="A183" s="9" t="s">
        <v>239</v>
      </c>
      <c r="B183" s="28">
        <v>692</v>
      </c>
      <c r="C183" s="13">
        <v>0.52746201869293796</v>
      </c>
      <c r="D183" s="11">
        <v>55422</v>
      </c>
      <c r="E183" s="9" t="s">
        <v>84</v>
      </c>
      <c r="F183" s="36">
        <v>15</v>
      </c>
      <c r="G183" s="36">
        <v>5</v>
      </c>
      <c r="H183" s="36">
        <v>5</v>
      </c>
      <c r="I183" s="36">
        <v>5</v>
      </c>
      <c r="J183" s="28">
        <v>30</v>
      </c>
      <c r="K183" s="14" t="s">
        <v>405</v>
      </c>
    </row>
    <row r="184" spans="1:11" x14ac:dyDescent="0.3">
      <c r="A184" s="15" t="s">
        <v>240</v>
      </c>
      <c r="B184" s="29">
        <v>346</v>
      </c>
      <c r="C184" s="19">
        <v>0.157512932428063</v>
      </c>
      <c r="D184" s="17">
        <v>49488</v>
      </c>
      <c r="E184" s="15" t="s">
        <v>84</v>
      </c>
      <c r="F184" s="37">
        <v>-20</v>
      </c>
      <c r="G184" s="37">
        <v>5</v>
      </c>
      <c r="H184" s="37">
        <v>5</v>
      </c>
      <c r="I184" s="37">
        <v>20</v>
      </c>
      <c r="J184" s="29">
        <v>10</v>
      </c>
      <c r="K184" s="20" t="s">
        <v>405</v>
      </c>
    </row>
    <row r="185" spans="1:11" x14ac:dyDescent="0.3">
      <c r="A185" s="9" t="s">
        <v>241</v>
      </c>
      <c r="B185" s="28">
        <v>640</v>
      </c>
      <c r="C185" s="13">
        <v>1.0646074921177799</v>
      </c>
      <c r="D185" s="11">
        <v>18713</v>
      </c>
      <c r="E185" s="9" t="s">
        <v>79</v>
      </c>
      <c r="F185" s="36">
        <v>15</v>
      </c>
      <c r="G185" s="36">
        <v>-10</v>
      </c>
      <c r="H185" s="36">
        <v>-30</v>
      </c>
      <c r="I185" s="36">
        <v>-25</v>
      </c>
      <c r="J185" s="28">
        <v>-50</v>
      </c>
      <c r="K185" s="14" t="s">
        <v>405</v>
      </c>
    </row>
    <row r="186" spans="1:11" x14ac:dyDescent="0.3">
      <c r="A186" s="15" t="s">
        <v>242</v>
      </c>
      <c r="B186" s="29">
        <v>579</v>
      </c>
      <c r="C186" s="19">
        <v>0.59183846430917197</v>
      </c>
      <c r="D186" s="17">
        <v>47197</v>
      </c>
      <c r="E186" s="15" t="s">
        <v>95</v>
      </c>
      <c r="F186" s="37">
        <v>-20</v>
      </c>
      <c r="G186" s="37">
        <v>5</v>
      </c>
      <c r="H186" s="37">
        <v>10</v>
      </c>
      <c r="I186" s="37">
        <v>5</v>
      </c>
      <c r="J186" s="29">
        <v>0</v>
      </c>
      <c r="K186" s="20" t="s">
        <v>405</v>
      </c>
    </row>
    <row r="187" spans="1:11" x14ac:dyDescent="0.3">
      <c r="A187" s="9" t="s">
        <v>243</v>
      </c>
      <c r="B187" s="28">
        <v>777</v>
      </c>
      <c r="C187" s="13">
        <v>0.36892450879007199</v>
      </c>
      <c r="D187" s="11">
        <v>46416</v>
      </c>
      <c r="E187" s="9" t="s">
        <v>79</v>
      </c>
      <c r="F187" s="36">
        <v>30</v>
      </c>
      <c r="G187" s="36">
        <v>5</v>
      </c>
      <c r="H187" s="36">
        <v>-30</v>
      </c>
      <c r="I187" s="36">
        <v>5</v>
      </c>
      <c r="J187" s="28">
        <v>10</v>
      </c>
      <c r="K187" s="14" t="s">
        <v>405</v>
      </c>
    </row>
    <row r="188" spans="1:11" ht="26.4" x14ac:dyDescent="0.3">
      <c r="A188" s="15" t="s">
        <v>244</v>
      </c>
      <c r="B188" s="29">
        <v>725</v>
      </c>
      <c r="C188" s="19">
        <v>0.41349437384537902</v>
      </c>
      <c r="D188" s="17">
        <v>71452</v>
      </c>
      <c r="E188" s="15" t="s">
        <v>95</v>
      </c>
      <c r="F188" s="37">
        <v>15</v>
      </c>
      <c r="G188" s="37">
        <v>15</v>
      </c>
      <c r="H188" s="37">
        <v>10</v>
      </c>
      <c r="I188" s="37">
        <v>5</v>
      </c>
      <c r="J188" s="29">
        <v>45</v>
      </c>
      <c r="K188" s="39" t="s">
        <v>402</v>
      </c>
    </row>
    <row r="189" spans="1:11" x14ac:dyDescent="0.3">
      <c r="A189" s="9" t="s">
        <v>245</v>
      </c>
      <c r="B189" s="28">
        <v>725</v>
      </c>
      <c r="C189" s="13">
        <v>0.34319892375377198</v>
      </c>
      <c r="D189" s="11">
        <v>55006</v>
      </c>
      <c r="E189" s="9" t="s">
        <v>84</v>
      </c>
      <c r="F189" s="36">
        <v>15</v>
      </c>
      <c r="G189" s="36">
        <v>5</v>
      </c>
      <c r="H189" s="36">
        <v>5</v>
      </c>
      <c r="I189" s="36">
        <v>5</v>
      </c>
      <c r="J189" s="28">
        <v>30</v>
      </c>
      <c r="K189" s="14" t="s">
        <v>405</v>
      </c>
    </row>
    <row r="190" spans="1:11" ht="26.4" x14ac:dyDescent="0.3">
      <c r="A190" s="15" t="s">
        <v>246</v>
      </c>
      <c r="B190" s="29">
        <v>814</v>
      </c>
      <c r="C190" s="19">
        <v>0.34695625439212902</v>
      </c>
      <c r="D190" s="17">
        <v>45536</v>
      </c>
      <c r="E190" s="15" t="s">
        <v>84</v>
      </c>
      <c r="F190" s="37">
        <v>30</v>
      </c>
      <c r="G190" s="37">
        <v>5</v>
      </c>
      <c r="H190" s="37">
        <v>5</v>
      </c>
      <c r="I190" s="37">
        <v>5</v>
      </c>
      <c r="J190" s="29">
        <v>45</v>
      </c>
      <c r="K190" s="39" t="s">
        <v>402</v>
      </c>
    </row>
    <row r="191" spans="1:11" x14ac:dyDescent="0.3">
      <c r="A191" s="9" t="s">
        <v>247</v>
      </c>
      <c r="B191" s="28">
        <v>428</v>
      </c>
      <c r="C191" s="13">
        <v>0.61671600065778698</v>
      </c>
      <c r="D191" s="11">
        <v>48648</v>
      </c>
      <c r="E191" s="9" t="s">
        <v>84</v>
      </c>
      <c r="F191" s="36">
        <v>-20</v>
      </c>
      <c r="G191" s="36">
        <v>5</v>
      </c>
      <c r="H191" s="36">
        <v>5</v>
      </c>
      <c r="I191" s="36">
        <v>-25</v>
      </c>
      <c r="J191" s="28">
        <v>-35</v>
      </c>
      <c r="K191" s="14" t="s">
        <v>405</v>
      </c>
    </row>
    <row r="192" spans="1:11" x14ac:dyDescent="0.3">
      <c r="A192" s="15" t="s">
        <v>248</v>
      </c>
      <c r="B192" s="29">
        <v>548</v>
      </c>
      <c r="C192" s="19">
        <v>0.191733867882664</v>
      </c>
      <c r="D192" s="17">
        <v>65351</v>
      </c>
      <c r="E192" s="15" t="s">
        <v>79</v>
      </c>
      <c r="F192" s="37">
        <v>-20</v>
      </c>
      <c r="G192" s="37">
        <v>15</v>
      </c>
      <c r="H192" s="37">
        <v>-30</v>
      </c>
      <c r="I192" s="37">
        <v>20</v>
      </c>
      <c r="J192" s="29">
        <v>-15</v>
      </c>
      <c r="K192" s="20" t="s">
        <v>405</v>
      </c>
    </row>
    <row r="193" spans="1:11" x14ac:dyDescent="0.3">
      <c r="A193" s="9" t="s">
        <v>249</v>
      </c>
      <c r="B193" s="28">
        <v>430</v>
      </c>
      <c r="C193" s="13">
        <v>0.30067116935910698</v>
      </c>
      <c r="D193" s="11">
        <v>47231</v>
      </c>
      <c r="E193" s="9" t="s">
        <v>79</v>
      </c>
      <c r="F193" s="36">
        <v>-20</v>
      </c>
      <c r="G193" s="36">
        <v>5</v>
      </c>
      <c r="H193" s="36">
        <v>-30</v>
      </c>
      <c r="I193" s="36">
        <v>5</v>
      </c>
      <c r="J193" s="28">
        <v>-40</v>
      </c>
      <c r="K193" s="14" t="s">
        <v>405</v>
      </c>
    </row>
    <row r="194" spans="1:11" x14ac:dyDescent="0.3">
      <c r="A194" s="15" t="s">
        <v>250</v>
      </c>
      <c r="B194" s="29">
        <v>622</v>
      </c>
      <c r="C194" s="19">
        <v>0.32474005110430798</v>
      </c>
      <c r="D194" s="17">
        <v>39527</v>
      </c>
      <c r="E194" s="15" t="s">
        <v>95</v>
      </c>
      <c r="F194" s="37">
        <v>15</v>
      </c>
      <c r="G194" s="37">
        <v>5</v>
      </c>
      <c r="H194" s="37">
        <v>10</v>
      </c>
      <c r="I194" s="37">
        <v>5</v>
      </c>
      <c r="J194" s="29">
        <v>35</v>
      </c>
      <c r="K194" s="20" t="s">
        <v>405</v>
      </c>
    </row>
    <row r="195" spans="1:11" ht="26.4" x14ac:dyDescent="0.3">
      <c r="A195" s="9" t="s">
        <v>251</v>
      </c>
      <c r="B195" s="28">
        <v>842</v>
      </c>
      <c r="C195" s="13">
        <v>0.236765218908076</v>
      </c>
      <c r="D195" s="11">
        <v>45864</v>
      </c>
      <c r="E195" s="9" t="s">
        <v>95</v>
      </c>
      <c r="F195" s="36">
        <v>30</v>
      </c>
      <c r="G195" s="36">
        <v>5</v>
      </c>
      <c r="H195" s="36">
        <v>10</v>
      </c>
      <c r="I195" s="36">
        <v>20</v>
      </c>
      <c r="J195" s="28">
        <v>65</v>
      </c>
      <c r="K195" s="38" t="s">
        <v>402</v>
      </c>
    </row>
    <row r="196" spans="1:11" x14ac:dyDescent="0.3">
      <c r="A196" s="15" t="s">
        <v>252</v>
      </c>
      <c r="B196" s="29">
        <v>365</v>
      </c>
      <c r="C196" s="19">
        <v>0.33105599750428999</v>
      </c>
      <c r="D196" s="17">
        <v>64110</v>
      </c>
      <c r="E196" s="15" t="s">
        <v>84</v>
      </c>
      <c r="F196" s="37">
        <v>-20</v>
      </c>
      <c r="G196" s="37">
        <v>15</v>
      </c>
      <c r="H196" s="37">
        <v>5</v>
      </c>
      <c r="I196" s="37">
        <v>5</v>
      </c>
      <c r="J196" s="29">
        <v>5</v>
      </c>
      <c r="K196" s="20" t="s">
        <v>405</v>
      </c>
    </row>
    <row r="197" spans="1:11" x14ac:dyDescent="0.3">
      <c r="A197" s="9" t="s">
        <v>253</v>
      </c>
      <c r="B197" s="28">
        <v>400</v>
      </c>
      <c r="C197" s="13">
        <v>0.276748720448452</v>
      </c>
      <c r="D197" s="11">
        <v>57442</v>
      </c>
      <c r="E197" s="9" t="s">
        <v>79</v>
      </c>
      <c r="F197" s="36">
        <v>-20</v>
      </c>
      <c r="G197" s="36">
        <v>5</v>
      </c>
      <c r="H197" s="36">
        <v>-30</v>
      </c>
      <c r="I197" s="36">
        <v>20</v>
      </c>
      <c r="J197" s="28">
        <v>-25</v>
      </c>
      <c r="K197" s="14" t="s">
        <v>405</v>
      </c>
    </row>
    <row r="198" spans="1:11" x14ac:dyDescent="0.3">
      <c r="A198" s="15" t="s">
        <v>254</v>
      </c>
      <c r="B198" s="29">
        <v>330</v>
      </c>
      <c r="C198" s="19">
        <v>0.471912995420812</v>
      </c>
      <c r="D198" s="17">
        <v>50664</v>
      </c>
      <c r="E198" s="15" t="s">
        <v>79</v>
      </c>
      <c r="F198" s="37">
        <v>-20</v>
      </c>
      <c r="G198" s="37">
        <v>5</v>
      </c>
      <c r="H198" s="37">
        <v>-30</v>
      </c>
      <c r="I198" s="37">
        <v>5</v>
      </c>
      <c r="J198" s="29">
        <v>-40</v>
      </c>
      <c r="K198" s="20" t="s">
        <v>405</v>
      </c>
    </row>
    <row r="199" spans="1:11" x14ac:dyDescent="0.3">
      <c r="A199" s="9" t="s">
        <v>255</v>
      </c>
      <c r="B199" s="28">
        <v>490</v>
      </c>
      <c r="C199" s="13">
        <v>0.1158057988009</v>
      </c>
      <c r="D199" s="11">
        <v>52873</v>
      </c>
      <c r="E199" s="9" t="s">
        <v>95</v>
      </c>
      <c r="F199" s="36">
        <v>-20</v>
      </c>
      <c r="G199" s="36">
        <v>5</v>
      </c>
      <c r="H199" s="36">
        <v>10</v>
      </c>
      <c r="I199" s="36">
        <v>20</v>
      </c>
      <c r="J199" s="28">
        <v>15</v>
      </c>
      <c r="K199" s="14" t="s">
        <v>405</v>
      </c>
    </row>
    <row r="200" spans="1:11" ht="26.4" x14ac:dyDescent="0.3">
      <c r="A200" s="15" t="s">
        <v>256</v>
      </c>
      <c r="B200" s="29">
        <v>714</v>
      </c>
      <c r="C200" s="19">
        <v>0.26487837707912698</v>
      </c>
      <c r="D200" s="17">
        <v>41604</v>
      </c>
      <c r="E200" s="15" t="s">
        <v>95</v>
      </c>
      <c r="F200" s="37">
        <v>15</v>
      </c>
      <c r="G200" s="37">
        <v>5</v>
      </c>
      <c r="H200" s="37">
        <v>10</v>
      </c>
      <c r="I200" s="37">
        <v>20</v>
      </c>
      <c r="J200" s="29">
        <v>50</v>
      </c>
      <c r="K200" s="39" t="s">
        <v>402</v>
      </c>
    </row>
    <row r="201" spans="1:11" x14ac:dyDescent="0.3">
      <c r="A201" s="9" t="s">
        <v>257</v>
      </c>
      <c r="B201" s="28">
        <v>799</v>
      </c>
      <c r="C201" s="13">
        <v>0.43347985814699203</v>
      </c>
      <c r="D201" s="11">
        <v>47091</v>
      </c>
      <c r="E201" s="9" t="s">
        <v>79</v>
      </c>
      <c r="F201" s="36">
        <v>30</v>
      </c>
      <c r="G201" s="36">
        <v>5</v>
      </c>
      <c r="H201" s="36">
        <v>-30</v>
      </c>
      <c r="I201" s="36">
        <v>5</v>
      </c>
      <c r="J201" s="28">
        <v>10</v>
      </c>
      <c r="K201" s="14" t="s">
        <v>405</v>
      </c>
    </row>
    <row r="202" spans="1:11" x14ac:dyDescent="0.3">
      <c r="A202" s="15" t="s">
        <v>258</v>
      </c>
      <c r="B202" s="29">
        <v>345</v>
      </c>
      <c r="C202" s="19">
        <v>0.79293383270911399</v>
      </c>
      <c r="D202" s="17">
        <v>40050</v>
      </c>
      <c r="E202" s="15" t="s">
        <v>79</v>
      </c>
      <c r="F202" s="37">
        <v>-20</v>
      </c>
      <c r="G202" s="37">
        <v>5</v>
      </c>
      <c r="H202" s="37">
        <v>-30</v>
      </c>
      <c r="I202" s="37">
        <v>-25</v>
      </c>
      <c r="J202" s="29">
        <v>-70</v>
      </c>
      <c r="K202" s="20" t="s">
        <v>405</v>
      </c>
    </row>
    <row r="203" spans="1:11" x14ac:dyDescent="0.3">
      <c r="A203" s="9" t="s">
        <v>259</v>
      </c>
      <c r="B203" s="28">
        <v>388</v>
      </c>
      <c r="C203" s="13">
        <v>0.50524375795339904</v>
      </c>
      <c r="D203" s="11">
        <v>45578</v>
      </c>
      <c r="E203" s="9" t="s">
        <v>95</v>
      </c>
      <c r="F203" s="36">
        <v>-20</v>
      </c>
      <c r="G203" s="36">
        <v>5</v>
      </c>
      <c r="H203" s="36">
        <v>10</v>
      </c>
      <c r="I203" s="36">
        <v>5</v>
      </c>
      <c r="J203" s="28">
        <v>0</v>
      </c>
      <c r="K203" s="14" t="s">
        <v>405</v>
      </c>
    </row>
    <row r="204" spans="1:11" x14ac:dyDescent="0.3">
      <c r="A204" s="15" t="s">
        <v>260</v>
      </c>
      <c r="B204" s="29">
        <v>674</v>
      </c>
      <c r="C204" s="19">
        <v>0.21775675637171801</v>
      </c>
      <c r="D204" s="17">
        <v>70193</v>
      </c>
      <c r="E204" s="15" t="s">
        <v>79</v>
      </c>
      <c r="F204" s="37">
        <v>15</v>
      </c>
      <c r="G204" s="37">
        <v>15</v>
      </c>
      <c r="H204" s="37">
        <v>-30</v>
      </c>
      <c r="I204" s="37">
        <v>20</v>
      </c>
      <c r="J204" s="29">
        <v>20</v>
      </c>
      <c r="K204" s="20" t="s">
        <v>405</v>
      </c>
    </row>
    <row r="205" spans="1:11" x14ac:dyDescent="0.3">
      <c r="A205" s="9" t="s">
        <v>261</v>
      </c>
      <c r="B205" s="28">
        <v>545</v>
      </c>
      <c r="C205" s="13">
        <v>0.23894537715772099</v>
      </c>
      <c r="D205" s="11">
        <v>33832</v>
      </c>
      <c r="E205" s="9" t="s">
        <v>79</v>
      </c>
      <c r="F205" s="36">
        <v>-20</v>
      </c>
      <c r="G205" s="36">
        <v>5</v>
      </c>
      <c r="H205" s="36">
        <v>-30</v>
      </c>
      <c r="I205" s="36">
        <v>20</v>
      </c>
      <c r="J205" s="28">
        <v>-25</v>
      </c>
      <c r="K205" s="14" t="s">
        <v>405</v>
      </c>
    </row>
    <row r="206" spans="1:11" x14ac:dyDescent="0.3">
      <c r="A206" s="15" t="s">
        <v>262</v>
      </c>
      <c r="B206" s="29">
        <v>556</v>
      </c>
      <c r="C206" s="19">
        <v>0.373515843605838</v>
      </c>
      <c r="D206" s="17">
        <v>39669</v>
      </c>
      <c r="E206" s="15" t="s">
        <v>84</v>
      </c>
      <c r="F206" s="37">
        <v>-20</v>
      </c>
      <c r="G206" s="37">
        <v>5</v>
      </c>
      <c r="H206" s="37">
        <v>5</v>
      </c>
      <c r="I206" s="37">
        <v>5</v>
      </c>
      <c r="J206" s="29">
        <v>-5</v>
      </c>
      <c r="K206" s="20" t="s">
        <v>405</v>
      </c>
    </row>
    <row r="207" spans="1:11" x14ac:dyDescent="0.3">
      <c r="A207" s="9" t="s">
        <v>263</v>
      </c>
      <c r="B207" s="28">
        <v>651</v>
      </c>
      <c r="C207" s="13">
        <v>0.63041108189572304</v>
      </c>
      <c r="D207" s="11">
        <v>31186</v>
      </c>
      <c r="E207" s="9" t="s">
        <v>79</v>
      </c>
      <c r="F207" s="36">
        <v>15</v>
      </c>
      <c r="G207" s="36">
        <v>5</v>
      </c>
      <c r="H207" s="36">
        <v>-30</v>
      </c>
      <c r="I207" s="36">
        <v>-25</v>
      </c>
      <c r="J207" s="28">
        <v>-35</v>
      </c>
      <c r="K207" s="14" t="s">
        <v>405</v>
      </c>
    </row>
    <row r="208" spans="1:11" x14ac:dyDescent="0.3">
      <c r="A208" s="15" t="s">
        <v>264</v>
      </c>
      <c r="B208" s="29">
        <v>579</v>
      </c>
      <c r="C208" s="19">
        <v>4.0735967926689598E-2</v>
      </c>
      <c r="D208" s="17">
        <v>27936</v>
      </c>
      <c r="E208" s="15" t="s">
        <v>79</v>
      </c>
      <c r="F208" s="37">
        <v>-20</v>
      </c>
      <c r="G208" s="37">
        <v>-10</v>
      </c>
      <c r="H208" s="37">
        <v>-30</v>
      </c>
      <c r="I208" s="37">
        <v>20</v>
      </c>
      <c r="J208" s="29">
        <v>-40</v>
      </c>
      <c r="K208" s="20" t="s">
        <v>405</v>
      </c>
    </row>
    <row r="209" spans="1:11" x14ac:dyDescent="0.3">
      <c r="A209" s="9" t="s">
        <v>265</v>
      </c>
      <c r="B209" s="28">
        <v>636</v>
      </c>
      <c r="C209" s="13">
        <v>0.21808127463028101</v>
      </c>
      <c r="D209" s="11">
        <v>47198</v>
      </c>
      <c r="E209" s="9" t="s">
        <v>79</v>
      </c>
      <c r="F209" s="36">
        <v>15</v>
      </c>
      <c r="G209" s="36">
        <v>5</v>
      </c>
      <c r="H209" s="36">
        <v>-30</v>
      </c>
      <c r="I209" s="36">
        <v>20</v>
      </c>
      <c r="J209" s="28">
        <v>10</v>
      </c>
      <c r="K209" s="14" t="s">
        <v>405</v>
      </c>
    </row>
    <row r="210" spans="1:11" ht="26.4" x14ac:dyDescent="0.3">
      <c r="A210" s="15" t="s">
        <v>266</v>
      </c>
      <c r="B210" s="29">
        <v>825</v>
      </c>
      <c r="C210" s="19">
        <v>0.34613118617439098</v>
      </c>
      <c r="D210" s="17">
        <v>40736</v>
      </c>
      <c r="E210" s="15" t="s">
        <v>95</v>
      </c>
      <c r="F210" s="37">
        <v>30</v>
      </c>
      <c r="G210" s="37">
        <v>5</v>
      </c>
      <c r="H210" s="37">
        <v>10</v>
      </c>
      <c r="I210" s="37">
        <v>5</v>
      </c>
      <c r="J210" s="29">
        <v>50</v>
      </c>
      <c r="K210" s="39" t="s">
        <v>402</v>
      </c>
    </row>
    <row r="211" spans="1:11" ht="26.4" x14ac:dyDescent="0.3">
      <c r="A211" s="9" t="s">
        <v>267</v>
      </c>
      <c r="B211" s="28">
        <v>600</v>
      </c>
      <c r="C211" s="13">
        <v>0.23475302584232899</v>
      </c>
      <c r="D211" s="11">
        <v>76425</v>
      </c>
      <c r="E211" s="9" t="s">
        <v>84</v>
      </c>
      <c r="F211" s="36">
        <v>15</v>
      </c>
      <c r="G211" s="36">
        <v>15</v>
      </c>
      <c r="H211" s="36">
        <v>5</v>
      </c>
      <c r="I211" s="36">
        <v>20</v>
      </c>
      <c r="J211" s="28">
        <v>55</v>
      </c>
      <c r="K211" s="38" t="s">
        <v>402</v>
      </c>
    </row>
    <row r="212" spans="1:11" x14ac:dyDescent="0.3">
      <c r="A212" s="15" t="s">
        <v>268</v>
      </c>
      <c r="B212" s="29">
        <v>376</v>
      </c>
      <c r="C212" s="19">
        <v>0.42758485040540301</v>
      </c>
      <c r="D212" s="17">
        <v>45757</v>
      </c>
      <c r="E212" s="15" t="s">
        <v>95</v>
      </c>
      <c r="F212" s="37">
        <v>-20</v>
      </c>
      <c r="G212" s="37">
        <v>5</v>
      </c>
      <c r="H212" s="37">
        <v>10</v>
      </c>
      <c r="I212" s="37">
        <v>5</v>
      </c>
      <c r="J212" s="29">
        <v>0</v>
      </c>
      <c r="K212" s="20" t="s">
        <v>405</v>
      </c>
    </row>
    <row r="213" spans="1:11" ht="26.4" x14ac:dyDescent="0.3">
      <c r="A213" s="9" t="s">
        <v>269</v>
      </c>
      <c r="B213" s="28">
        <v>810</v>
      </c>
      <c r="C213" s="13">
        <v>0.21795186109228301</v>
      </c>
      <c r="D213" s="11">
        <v>69341</v>
      </c>
      <c r="E213" s="9" t="s">
        <v>84</v>
      </c>
      <c r="F213" s="36">
        <v>30</v>
      </c>
      <c r="G213" s="36">
        <v>15</v>
      </c>
      <c r="H213" s="36">
        <v>5</v>
      </c>
      <c r="I213" s="36">
        <v>20</v>
      </c>
      <c r="J213" s="28">
        <v>70</v>
      </c>
      <c r="K213" s="38" t="s">
        <v>402</v>
      </c>
    </row>
    <row r="214" spans="1:11" x14ac:dyDescent="0.3">
      <c r="A214" s="15" t="s">
        <v>270</v>
      </c>
      <c r="B214" s="29">
        <v>529</v>
      </c>
      <c r="C214" s="19">
        <v>0.37270613763174198</v>
      </c>
      <c r="D214" s="17">
        <v>64520</v>
      </c>
      <c r="E214" s="15" t="s">
        <v>84</v>
      </c>
      <c r="F214" s="37">
        <v>-20</v>
      </c>
      <c r="G214" s="37">
        <v>15</v>
      </c>
      <c r="H214" s="37">
        <v>5</v>
      </c>
      <c r="I214" s="37">
        <v>5</v>
      </c>
      <c r="J214" s="29">
        <v>5</v>
      </c>
      <c r="K214" s="20" t="s">
        <v>405</v>
      </c>
    </row>
    <row r="215" spans="1:11" x14ac:dyDescent="0.3">
      <c r="A215" s="9" t="s">
        <v>271</v>
      </c>
      <c r="B215" s="28">
        <v>331</v>
      </c>
      <c r="C215" s="13">
        <v>0.44804335765800402</v>
      </c>
      <c r="D215" s="11">
        <v>46866</v>
      </c>
      <c r="E215" s="9" t="s">
        <v>79</v>
      </c>
      <c r="F215" s="36">
        <v>-20</v>
      </c>
      <c r="G215" s="36">
        <v>5</v>
      </c>
      <c r="H215" s="36">
        <v>-30</v>
      </c>
      <c r="I215" s="36">
        <v>5</v>
      </c>
      <c r="J215" s="28">
        <v>-40</v>
      </c>
      <c r="K215" s="14" t="s">
        <v>405</v>
      </c>
    </row>
    <row r="216" spans="1:11" x14ac:dyDescent="0.3">
      <c r="A216" s="15" t="s">
        <v>272</v>
      </c>
      <c r="B216" s="29">
        <v>357</v>
      </c>
      <c r="C216" s="19">
        <v>0.20867829324450099</v>
      </c>
      <c r="D216" s="17">
        <v>81652</v>
      </c>
      <c r="E216" s="15" t="s">
        <v>84</v>
      </c>
      <c r="F216" s="37">
        <v>-20</v>
      </c>
      <c r="G216" s="37">
        <v>15</v>
      </c>
      <c r="H216" s="37">
        <v>5</v>
      </c>
      <c r="I216" s="37">
        <v>20</v>
      </c>
      <c r="J216" s="29">
        <v>20</v>
      </c>
      <c r="K216" s="20" t="s">
        <v>405</v>
      </c>
    </row>
    <row r="217" spans="1:11" x14ac:dyDescent="0.3">
      <c r="A217" s="9" t="s">
        <v>273</v>
      </c>
      <c r="B217" s="28">
        <v>403</v>
      </c>
      <c r="C217" s="13">
        <v>0.46549937069667602</v>
      </c>
      <c r="D217" s="11">
        <v>54028</v>
      </c>
      <c r="E217" s="9" t="s">
        <v>84</v>
      </c>
      <c r="F217" s="36">
        <v>-20</v>
      </c>
      <c r="G217" s="36">
        <v>5</v>
      </c>
      <c r="H217" s="36">
        <v>5</v>
      </c>
      <c r="I217" s="36">
        <v>5</v>
      </c>
      <c r="J217" s="28">
        <v>-5</v>
      </c>
      <c r="K217" s="14" t="s">
        <v>405</v>
      </c>
    </row>
    <row r="218" spans="1:11" x14ac:dyDescent="0.3">
      <c r="A218" s="15" t="s">
        <v>274</v>
      </c>
      <c r="B218" s="29">
        <v>611</v>
      </c>
      <c r="C218" s="19">
        <v>0.33696953022903903</v>
      </c>
      <c r="D218" s="17">
        <v>72695</v>
      </c>
      <c r="E218" s="15" t="s">
        <v>79</v>
      </c>
      <c r="F218" s="37">
        <v>15</v>
      </c>
      <c r="G218" s="37">
        <v>15</v>
      </c>
      <c r="H218" s="37">
        <v>-30</v>
      </c>
      <c r="I218" s="37">
        <v>5</v>
      </c>
      <c r="J218" s="29">
        <v>5</v>
      </c>
      <c r="K218" s="20" t="s">
        <v>405</v>
      </c>
    </row>
    <row r="219" spans="1:11" x14ac:dyDescent="0.3">
      <c r="A219" s="9" t="s">
        <v>275</v>
      </c>
      <c r="B219" s="28">
        <v>366</v>
      </c>
      <c r="C219" s="13">
        <v>0.117972064440655</v>
      </c>
      <c r="D219" s="11">
        <v>70949</v>
      </c>
      <c r="E219" s="9" t="s">
        <v>79</v>
      </c>
      <c r="F219" s="36">
        <v>-20</v>
      </c>
      <c r="G219" s="36">
        <v>15</v>
      </c>
      <c r="H219" s="36">
        <v>-30</v>
      </c>
      <c r="I219" s="36">
        <v>20</v>
      </c>
      <c r="J219" s="28">
        <v>-15</v>
      </c>
      <c r="K219" s="14" t="s">
        <v>405</v>
      </c>
    </row>
    <row r="220" spans="1:11" x14ac:dyDescent="0.3">
      <c r="A220" s="15" t="s">
        <v>276</v>
      </c>
      <c r="B220" s="29">
        <v>673</v>
      </c>
      <c r="C220" s="19">
        <v>0.35119174670935599</v>
      </c>
      <c r="D220" s="17">
        <v>56220</v>
      </c>
      <c r="E220" s="15" t="s">
        <v>84</v>
      </c>
      <c r="F220" s="37">
        <v>15</v>
      </c>
      <c r="G220" s="37">
        <v>5</v>
      </c>
      <c r="H220" s="37">
        <v>5</v>
      </c>
      <c r="I220" s="37">
        <v>5</v>
      </c>
      <c r="J220" s="29">
        <v>30</v>
      </c>
      <c r="K220" s="20" t="s">
        <v>405</v>
      </c>
    </row>
    <row r="221" spans="1:11" x14ac:dyDescent="0.3">
      <c r="A221" s="9" t="s">
        <v>277</v>
      </c>
      <c r="B221" s="28">
        <v>534</v>
      </c>
      <c r="C221" s="13">
        <v>0.442685295509818</v>
      </c>
      <c r="D221" s="11">
        <v>61267</v>
      </c>
      <c r="E221" s="9" t="s">
        <v>95</v>
      </c>
      <c r="F221" s="36">
        <v>-20</v>
      </c>
      <c r="G221" s="36">
        <v>15</v>
      </c>
      <c r="H221" s="36">
        <v>10</v>
      </c>
      <c r="I221" s="36">
        <v>5</v>
      </c>
      <c r="J221" s="28">
        <v>10</v>
      </c>
      <c r="K221" s="14" t="s">
        <v>405</v>
      </c>
    </row>
    <row r="222" spans="1:11" x14ac:dyDescent="0.3">
      <c r="A222" s="15" t="s">
        <v>278</v>
      </c>
      <c r="B222" s="29">
        <v>411</v>
      </c>
      <c r="C222" s="19">
        <v>0.47943936254443198</v>
      </c>
      <c r="D222" s="17">
        <v>59361</v>
      </c>
      <c r="E222" s="15" t="s">
        <v>84</v>
      </c>
      <c r="F222" s="37">
        <v>-20</v>
      </c>
      <c r="G222" s="37">
        <v>5</v>
      </c>
      <c r="H222" s="37">
        <v>5</v>
      </c>
      <c r="I222" s="37">
        <v>5</v>
      </c>
      <c r="J222" s="29">
        <v>-5</v>
      </c>
      <c r="K222" s="20" t="s">
        <v>405</v>
      </c>
    </row>
    <row r="223" spans="1:11" x14ac:dyDescent="0.3">
      <c r="A223" s="9" t="s">
        <v>279</v>
      </c>
      <c r="B223" s="28">
        <v>688</v>
      </c>
      <c r="C223" s="13">
        <v>0.69944573029601698</v>
      </c>
      <c r="D223" s="11">
        <v>32836</v>
      </c>
      <c r="E223" s="9" t="s">
        <v>95</v>
      </c>
      <c r="F223" s="36">
        <v>15</v>
      </c>
      <c r="G223" s="36">
        <v>5</v>
      </c>
      <c r="H223" s="36">
        <v>10</v>
      </c>
      <c r="I223" s="36">
        <v>-25</v>
      </c>
      <c r="J223" s="28">
        <v>5</v>
      </c>
      <c r="K223" s="14" t="s">
        <v>405</v>
      </c>
    </row>
    <row r="224" spans="1:11" x14ac:dyDescent="0.3">
      <c r="A224" s="15" t="s">
        <v>280</v>
      </c>
      <c r="B224" s="29">
        <v>707</v>
      </c>
      <c r="C224" s="19">
        <v>0.35655439548555801</v>
      </c>
      <c r="D224" s="17">
        <v>50859</v>
      </c>
      <c r="E224" s="15" t="s">
        <v>95</v>
      </c>
      <c r="F224" s="37">
        <v>15</v>
      </c>
      <c r="G224" s="37">
        <v>5</v>
      </c>
      <c r="H224" s="37">
        <v>10</v>
      </c>
      <c r="I224" s="37">
        <v>5</v>
      </c>
      <c r="J224" s="29">
        <v>35</v>
      </c>
      <c r="K224" s="20" t="s">
        <v>405</v>
      </c>
    </row>
    <row r="225" spans="1:11" x14ac:dyDescent="0.3">
      <c r="A225" s="9" t="s">
        <v>281</v>
      </c>
      <c r="B225" s="28">
        <v>579</v>
      </c>
      <c r="C225" s="13">
        <v>0.35349547750854599</v>
      </c>
      <c r="D225" s="11">
        <v>66114</v>
      </c>
      <c r="E225" s="9" t="s">
        <v>84</v>
      </c>
      <c r="F225" s="36">
        <v>-20</v>
      </c>
      <c r="G225" s="36">
        <v>15</v>
      </c>
      <c r="H225" s="36">
        <v>5</v>
      </c>
      <c r="I225" s="36">
        <v>5</v>
      </c>
      <c r="J225" s="28">
        <v>5</v>
      </c>
      <c r="K225" s="14" t="s">
        <v>405</v>
      </c>
    </row>
    <row r="226" spans="1:11" x14ac:dyDescent="0.3">
      <c r="A226" s="15" t="s">
        <v>282</v>
      </c>
      <c r="B226" s="29">
        <v>538</v>
      </c>
      <c r="C226" s="19">
        <v>0.36302525619744003</v>
      </c>
      <c r="D226" s="17">
        <v>72893</v>
      </c>
      <c r="E226" s="15" t="s">
        <v>95</v>
      </c>
      <c r="F226" s="37">
        <v>-20</v>
      </c>
      <c r="G226" s="37">
        <v>15</v>
      </c>
      <c r="H226" s="37">
        <v>10</v>
      </c>
      <c r="I226" s="37">
        <v>5</v>
      </c>
      <c r="J226" s="29">
        <v>10</v>
      </c>
      <c r="K226" s="20" t="s">
        <v>405</v>
      </c>
    </row>
    <row r="227" spans="1:11" x14ac:dyDescent="0.3">
      <c r="A227" s="9" t="s">
        <v>283</v>
      </c>
      <c r="B227" s="28">
        <v>594</v>
      </c>
      <c r="C227" s="13">
        <v>0.53398826231181395</v>
      </c>
      <c r="D227" s="11">
        <v>39190</v>
      </c>
      <c r="E227" s="9" t="s">
        <v>84</v>
      </c>
      <c r="F227" s="36">
        <v>-20</v>
      </c>
      <c r="G227" s="36">
        <v>5</v>
      </c>
      <c r="H227" s="36">
        <v>5</v>
      </c>
      <c r="I227" s="36">
        <v>5</v>
      </c>
      <c r="J227" s="28">
        <v>-5</v>
      </c>
      <c r="K227" s="14" t="s">
        <v>405</v>
      </c>
    </row>
    <row r="228" spans="1:11" x14ac:dyDescent="0.3">
      <c r="A228" s="15" t="s">
        <v>284</v>
      </c>
      <c r="B228" s="29">
        <v>411</v>
      </c>
      <c r="C228" s="19">
        <v>0.44109683155512502</v>
      </c>
      <c r="D228" s="17">
        <v>49488</v>
      </c>
      <c r="E228" s="15" t="s">
        <v>95</v>
      </c>
      <c r="F228" s="37">
        <v>-20</v>
      </c>
      <c r="G228" s="37">
        <v>5</v>
      </c>
      <c r="H228" s="37">
        <v>10</v>
      </c>
      <c r="I228" s="37">
        <v>5</v>
      </c>
      <c r="J228" s="29">
        <v>0</v>
      </c>
      <c r="K228" s="20" t="s">
        <v>405</v>
      </c>
    </row>
    <row r="229" spans="1:11" x14ac:dyDescent="0.3">
      <c r="A229" s="9" t="s">
        <v>285</v>
      </c>
      <c r="B229" s="28">
        <v>387</v>
      </c>
      <c r="C229" s="13">
        <v>0.363764953119948</v>
      </c>
      <c r="D229" s="11">
        <v>49488</v>
      </c>
      <c r="E229" s="9" t="s">
        <v>95</v>
      </c>
      <c r="F229" s="36">
        <v>-20</v>
      </c>
      <c r="G229" s="36">
        <v>5</v>
      </c>
      <c r="H229" s="36">
        <v>10</v>
      </c>
      <c r="I229" s="36">
        <v>5</v>
      </c>
      <c r="J229" s="28">
        <v>0</v>
      </c>
      <c r="K229" s="14" t="s">
        <v>405</v>
      </c>
    </row>
    <row r="230" spans="1:11" ht="26.4" x14ac:dyDescent="0.3">
      <c r="A230" s="15" t="s">
        <v>286</v>
      </c>
      <c r="B230" s="29">
        <v>775</v>
      </c>
      <c r="C230" s="19">
        <v>0.19294244484989201</v>
      </c>
      <c r="D230" s="17">
        <v>48232</v>
      </c>
      <c r="E230" s="15" t="s">
        <v>84</v>
      </c>
      <c r="F230" s="37">
        <v>30</v>
      </c>
      <c r="G230" s="37">
        <v>5</v>
      </c>
      <c r="H230" s="37">
        <v>5</v>
      </c>
      <c r="I230" s="37">
        <v>20</v>
      </c>
      <c r="J230" s="29">
        <v>60</v>
      </c>
      <c r="K230" s="39" t="s">
        <v>402</v>
      </c>
    </row>
    <row r="231" spans="1:11" x14ac:dyDescent="0.3">
      <c r="A231" s="9" t="s">
        <v>287</v>
      </c>
      <c r="B231" s="28">
        <v>603</v>
      </c>
      <c r="C231" s="13">
        <v>0.33619443440549301</v>
      </c>
      <c r="D231" s="11">
        <v>55340</v>
      </c>
      <c r="E231" s="9" t="s">
        <v>79</v>
      </c>
      <c r="F231" s="36">
        <v>15</v>
      </c>
      <c r="G231" s="36">
        <v>5</v>
      </c>
      <c r="H231" s="36">
        <v>-30</v>
      </c>
      <c r="I231" s="36">
        <v>5</v>
      </c>
      <c r="J231" s="28">
        <v>-5</v>
      </c>
      <c r="K231" s="14" t="s">
        <v>405</v>
      </c>
    </row>
    <row r="232" spans="1:11" x14ac:dyDescent="0.3">
      <c r="A232" s="15" t="s">
        <v>288</v>
      </c>
      <c r="B232" s="29">
        <v>604</v>
      </c>
      <c r="C232" s="19">
        <v>0.29467749757516998</v>
      </c>
      <c r="D232" s="17">
        <v>49488</v>
      </c>
      <c r="E232" s="15" t="s">
        <v>79</v>
      </c>
      <c r="F232" s="37">
        <v>15</v>
      </c>
      <c r="G232" s="37">
        <v>5</v>
      </c>
      <c r="H232" s="37">
        <v>-30</v>
      </c>
      <c r="I232" s="37">
        <v>20</v>
      </c>
      <c r="J232" s="29">
        <v>10</v>
      </c>
      <c r="K232" s="20" t="s">
        <v>405</v>
      </c>
    </row>
    <row r="233" spans="1:11" x14ac:dyDescent="0.3">
      <c r="A233" s="9" t="s">
        <v>289</v>
      </c>
      <c r="B233" s="28">
        <v>589</v>
      </c>
      <c r="C233" s="13">
        <v>0.25135493195230602</v>
      </c>
      <c r="D233" s="11">
        <v>58121</v>
      </c>
      <c r="E233" s="9" t="s">
        <v>84</v>
      </c>
      <c r="F233" s="36">
        <v>-20</v>
      </c>
      <c r="G233" s="36">
        <v>5</v>
      </c>
      <c r="H233" s="36">
        <v>5</v>
      </c>
      <c r="I233" s="36">
        <v>20</v>
      </c>
      <c r="J233" s="28">
        <v>10</v>
      </c>
      <c r="K233" s="14" t="s">
        <v>405</v>
      </c>
    </row>
    <row r="234" spans="1:11" x14ac:dyDescent="0.3">
      <c r="A234" s="15" t="s">
        <v>290</v>
      </c>
      <c r="B234" s="29">
        <v>507</v>
      </c>
      <c r="C234" s="19">
        <v>0.43937955491022801</v>
      </c>
      <c r="D234" s="17">
        <v>71626</v>
      </c>
      <c r="E234" s="15" t="s">
        <v>84</v>
      </c>
      <c r="F234" s="37">
        <v>-20</v>
      </c>
      <c r="G234" s="37">
        <v>15</v>
      </c>
      <c r="H234" s="37">
        <v>5</v>
      </c>
      <c r="I234" s="37">
        <v>5</v>
      </c>
      <c r="J234" s="29">
        <v>5</v>
      </c>
      <c r="K234" s="20" t="s">
        <v>405</v>
      </c>
    </row>
  </sheetData>
  <mergeCells count="5">
    <mergeCell ref="A2:N2"/>
    <mergeCell ref="A3:N3"/>
    <mergeCell ref="A5:G5"/>
    <mergeCell ref="A26:G26"/>
    <mergeCell ref="A33:G33"/>
  </mergeCells>
  <pageMargins left="0.75" right="0.75" top="1" bottom="1" header="0.511811023622047" footer="0.511811023622047"/>
  <pageSetup paperSize="9" scale="11" fitToWidth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N216"/>
  <sheetViews>
    <sheetView showGridLines="0" zoomScale="85" zoomScaleNormal="85" workbookViewId="0">
      <pane ySplit="6" topLeftCell="A7" activePane="bottomLeft" state="frozen"/>
      <selection pane="bottomLeft" activeCell="A2" sqref="A2:N24"/>
    </sheetView>
  </sheetViews>
  <sheetFormatPr defaultColWidth="8.6640625" defaultRowHeight="14.4" x14ac:dyDescent="0.3"/>
  <cols>
    <col min="1" max="1" width="12" customWidth="1"/>
    <col min="2" max="2" width="14.109375" customWidth="1"/>
    <col min="3" max="3" width="12.44140625" customWidth="1"/>
    <col min="4" max="4" width="12" customWidth="1"/>
    <col min="5" max="5" width="14" customWidth="1"/>
    <col min="6" max="6" width="18.77734375" customWidth="1"/>
    <col min="7" max="7" width="12" customWidth="1"/>
    <col min="8" max="9" width="8" customWidth="1"/>
    <col min="10" max="10" width="13" customWidth="1"/>
    <col min="11" max="11" width="19.109375" customWidth="1"/>
    <col min="12" max="12" width="16" customWidth="1"/>
  </cols>
  <sheetData>
    <row r="1" spans="1:14" ht="9.75" customHeight="1" x14ac:dyDescent="0.3"/>
    <row r="2" spans="1:14" ht="36" customHeight="1" x14ac:dyDescent="0.3">
      <c r="A2" s="102" t="s">
        <v>414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</row>
    <row r="3" spans="1:14" ht="19.5" customHeight="1" x14ac:dyDescent="0.3">
      <c r="A3" s="103" t="s">
        <v>415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</row>
    <row r="4" spans="1:14" ht="7.5" customHeight="1" x14ac:dyDescent="0.3"/>
    <row r="5" spans="1:14" ht="15" customHeight="1" x14ac:dyDescent="0.3">
      <c r="A5" s="107" t="s">
        <v>416</v>
      </c>
      <c r="B5" s="107"/>
      <c r="C5" s="107"/>
      <c r="D5" s="107"/>
      <c r="E5" s="107"/>
      <c r="F5" s="107"/>
      <c r="G5" s="107"/>
    </row>
    <row r="6" spans="1:14" ht="21.75" customHeight="1" x14ac:dyDescent="0.3">
      <c r="A6" s="27" t="s">
        <v>393</v>
      </c>
      <c r="B6" s="27" t="s">
        <v>417</v>
      </c>
      <c r="C6" s="27" t="s">
        <v>418</v>
      </c>
      <c r="D6" s="27" t="s">
        <v>419</v>
      </c>
      <c r="E6" s="27" t="s">
        <v>420</v>
      </c>
      <c r="F6" s="27" t="s">
        <v>421</v>
      </c>
      <c r="G6" s="27" t="s">
        <v>422</v>
      </c>
    </row>
    <row r="7" spans="1:14" x14ac:dyDescent="0.3">
      <c r="A7" s="40" t="s">
        <v>399</v>
      </c>
      <c r="B7" s="41">
        <v>70</v>
      </c>
      <c r="C7" s="41">
        <v>100</v>
      </c>
      <c r="D7" s="42">
        <v>0.02</v>
      </c>
      <c r="E7" s="42">
        <v>0.4</v>
      </c>
      <c r="F7" s="42">
        <f t="shared" ref="F7:F12" si="0">D7*E7</f>
        <v>8.0000000000000002E-3</v>
      </c>
      <c r="G7" s="40" t="s">
        <v>423</v>
      </c>
    </row>
    <row r="8" spans="1:14" x14ac:dyDescent="0.3">
      <c r="A8" s="43" t="s">
        <v>402</v>
      </c>
      <c r="B8" s="44">
        <v>40</v>
      </c>
      <c r="C8" s="44">
        <v>69</v>
      </c>
      <c r="D8" s="45">
        <v>0.08</v>
      </c>
      <c r="E8" s="45">
        <v>0.55000000000000004</v>
      </c>
      <c r="F8" s="45">
        <f t="shared" si="0"/>
        <v>4.4000000000000004E-2</v>
      </c>
      <c r="G8" s="43" t="s">
        <v>424</v>
      </c>
    </row>
    <row r="9" spans="1:14" x14ac:dyDescent="0.3">
      <c r="A9" s="46" t="s">
        <v>405</v>
      </c>
      <c r="B9" s="47">
        <v>0</v>
      </c>
      <c r="C9" s="47">
        <v>39</v>
      </c>
      <c r="D9" s="48">
        <v>0.18</v>
      </c>
      <c r="E9" s="48">
        <v>0.65</v>
      </c>
      <c r="F9" s="48">
        <f t="shared" si="0"/>
        <v>0.11699999999999999</v>
      </c>
      <c r="G9" s="46" t="s">
        <v>425</v>
      </c>
    </row>
    <row r="10" spans="1:14" ht="26.4" x14ac:dyDescent="0.3">
      <c r="A10" s="49" t="s">
        <v>426</v>
      </c>
      <c r="B10" s="50">
        <v>70</v>
      </c>
      <c r="C10" s="50">
        <v>100</v>
      </c>
      <c r="D10" s="51">
        <v>0.04</v>
      </c>
      <c r="E10" s="51">
        <v>0.4</v>
      </c>
      <c r="F10" s="51">
        <f t="shared" si="0"/>
        <v>1.6E-2</v>
      </c>
      <c r="G10" s="49" t="s">
        <v>427</v>
      </c>
    </row>
    <row r="11" spans="1:14" ht="26.4" x14ac:dyDescent="0.3">
      <c r="A11" s="49" t="s">
        <v>428</v>
      </c>
      <c r="B11" s="50">
        <v>40</v>
      </c>
      <c r="C11" s="50">
        <v>69</v>
      </c>
      <c r="D11" s="51">
        <v>0.15</v>
      </c>
      <c r="E11" s="51">
        <v>0.55000000000000004</v>
      </c>
      <c r="F11" s="51">
        <f t="shared" si="0"/>
        <v>8.2500000000000004E-2</v>
      </c>
      <c r="G11" s="49" t="s">
        <v>429</v>
      </c>
    </row>
    <row r="12" spans="1:14" ht="26.4" x14ac:dyDescent="0.3">
      <c r="A12" s="49" t="s">
        <v>430</v>
      </c>
      <c r="B12" s="50">
        <v>0</v>
      </c>
      <c r="C12" s="50">
        <v>39</v>
      </c>
      <c r="D12" s="51">
        <v>0.32</v>
      </c>
      <c r="E12" s="51">
        <v>0.65</v>
      </c>
      <c r="F12" s="51">
        <f t="shared" si="0"/>
        <v>0.20800000000000002</v>
      </c>
      <c r="G12" s="49" t="s">
        <v>431</v>
      </c>
    </row>
    <row r="15" spans="1:14" ht="15" customHeight="1" x14ac:dyDescent="0.3">
      <c r="A15" s="109" t="s">
        <v>432</v>
      </c>
      <c r="B15" s="109"/>
      <c r="C15" s="109"/>
      <c r="D15" s="109"/>
      <c r="E15" s="109"/>
      <c r="F15" s="109"/>
      <c r="G15" s="109"/>
      <c r="H15" s="109"/>
      <c r="I15" s="109"/>
      <c r="J15" s="109"/>
      <c r="K15" s="109"/>
      <c r="L15" s="109"/>
    </row>
    <row r="16" spans="1:14" ht="21.75" customHeight="1" x14ac:dyDescent="0.3">
      <c r="A16" s="27" t="s">
        <v>61</v>
      </c>
      <c r="B16" s="27" t="s">
        <v>65</v>
      </c>
      <c r="C16" s="27" t="s">
        <v>361</v>
      </c>
      <c r="D16" s="27" t="s">
        <v>300</v>
      </c>
      <c r="E16" s="27" t="s">
        <v>359</v>
      </c>
      <c r="F16" s="27" t="s">
        <v>412</v>
      </c>
      <c r="G16" s="27" t="s">
        <v>393</v>
      </c>
      <c r="H16" s="27" t="s">
        <v>419</v>
      </c>
      <c r="I16" s="27" t="s">
        <v>420</v>
      </c>
      <c r="J16" s="27" t="s">
        <v>433</v>
      </c>
      <c r="K16" s="27" t="s">
        <v>434</v>
      </c>
      <c r="L16" s="27" t="s">
        <v>435</v>
      </c>
    </row>
    <row r="17" spans="1:12" x14ac:dyDescent="0.3">
      <c r="A17" s="9" t="s">
        <v>75</v>
      </c>
      <c r="B17" s="28">
        <v>675</v>
      </c>
      <c r="C17" s="13">
        <v>0.64645420139391596</v>
      </c>
      <c r="D17" s="11">
        <v>48353</v>
      </c>
      <c r="E17" s="9" t="s">
        <v>79</v>
      </c>
      <c r="F17" s="28">
        <v>-35</v>
      </c>
      <c r="G17" s="14" t="s">
        <v>405</v>
      </c>
      <c r="H17" s="12">
        <v>0.18</v>
      </c>
      <c r="I17" s="12">
        <v>0.65</v>
      </c>
      <c r="J17" s="11">
        <v>31258</v>
      </c>
      <c r="K17" s="11">
        <v>3657.1860000000001</v>
      </c>
      <c r="L17" s="11">
        <v>303.54643800000002</v>
      </c>
    </row>
    <row r="18" spans="1:12" x14ac:dyDescent="0.3">
      <c r="A18" s="15" t="s">
        <v>81</v>
      </c>
      <c r="B18" s="29">
        <v>586</v>
      </c>
      <c r="C18" s="19">
        <v>0.40482405763809098</v>
      </c>
      <c r="D18" s="17">
        <v>57462</v>
      </c>
      <c r="E18" s="15" t="s">
        <v>84</v>
      </c>
      <c r="F18" s="29">
        <v>-5</v>
      </c>
      <c r="G18" s="20" t="s">
        <v>405</v>
      </c>
      <c r="H18" s="18">
        <v>0.18</v>
      </c>
      <c r="I18" s="18">
        <v>0.65</v>
      </c>
      <c r="J18" s="17">
        <v>23262</v>
      </c>
      <c r="K18" s="17">
        <v>2721.654</v>
      </c>
      <c r="L18" s="17">
        <v>225.89728199999999</v>
      </c>
    </row>
    <row r="19" spans="1:12" ht="26.4" x14ac:dyDescent="0.3">
      <c r="A19" s="9" t="s">
        <v>85</v>
      </c>
      <c r="B19" s="28">
        <v>781</v>
      </c>
      <c r="C19" s="13">
        <v>0.59996833940161498</v>
      </c>
      <c r="D19" s="11">
        <v>44219</v>
      </c>
      <c r="E19" s="9" t="s">
        <v>84</v>
      </c>
      <c r="F19" s="28">
        <v>45</v>
      </c>
      <c r="G19" s="38" t="s">
        <v>402</v>
      </c>
      <c r="H19" s="12">
        <v>0.08</v>
      </c>
      <c r="I19" s="12">
        <v>0.55000000000000004</v>
      </c>
      <c r="J19" s="11">
        <v>26530</v>
      </c>
      <c r="K19" s="11">
        <v>1167.32</v>
      </c>
      <c r="L19" s="11">
        <v>96.887559999999993</v>
      </c>
    </row>
    <row r="20" spans="1:12" x14ac:dyDescent="0.3">
      <c r="A20" s="15" t="s">
        <v>88</v>
      </c>
      <c r="B20" s="29">
        <v>549</v>
      </c>
      <c r="C20" s="19">
        <v>0.20478803701138401</v>
      </c>
      <c r="D20" s="17">
        <v>56307</v>
      </c>
      <c r="E20" s="15" t="s">
        <v>79</v>
      </c>
      <c r="F20" s="29">
        <v>-25</v>
      </c>
      <c r="G20" s="20" t="s">
        <v>405</v>
      </c>
      <c r="H20" s="18">
        <v>0.18</v>
      </c>
      <c r="I20" s="18">
        <v>0.65</v>
      </c>
      <c r="J20" s="17">
        <v>11531</v>
      </c>
      <c r="K20" s="17">
        <v>1349.127</v>
      </c>
      <c r="L20" s="17">
        <v>111.977541</v>
      </c>
    </row>
    <row r="21" spans="1:12" x14ac:dyDescent="0.3">
      <c r="A21" s="9" t="s">
        <v>91</v>
      </c>
      <c r="B21" s="28">
        <v>500</v>
      </c>
      <c r="C21" s="13">
        <v>0.75257871145433897</v>
      </c>
      <c r="D21" s="11">
        <v>37034</v>
      </c>
      <c r="E21" s="9" t="s">
        <v>79</v>
      </c>
      <c r="F21" s="28">
        <v>-70</v>
      </c>
      <c r="G21" s="14" t="s">
        <v>405</v>
      </c>
      <c r="H21" s="12">
        <v>0.18</v>
      </c>
      <c r="I21" s="12">
        <v>0.65</v>
      </c>
      <c r="J21" s="11">
        <v>27871</v>
      </c>
      <c r="K21" s="11">
        <v>3260.9070000000002</v>
      </c>
      <c r="L21" s="11">
        <v>270.655281</v>
      </c>
    </row>
    <row r="22" spans="1:12" ht="26.4" x14ac:dyDescent="0.3">
      <c r="A22" s="15" t="s">
        <v>93</v>
      </c>
      <c r="B22" s="29">
        <v>835</v>
      </c>
      <c r="C22" s="19">
        <v>0.37810633588105103</v>
      </c>
      <c r="D22" s="17">
        <v>47886</v>
      </c>
      <c r="E22" s="15" t="s">
        <v>95</v>
      </c>
      <c r="F22" s="29">
        <v>50</v>
      </c>
      <c r="G22" s="39" t="s">
        <v>402</v>
      </c>
      <c r="H22" s="18">
        <v>0.08</v>
      </c>
      <c r="I22" s="18">
        <v>0.55000000000000004</v>
      </c>
      <c r="J22" s="17">
        <v>18106</v>
      </c>
      <c r="K22" s="17">
        <v>796.66399999999999</v>
      </c>
      <c r="L22" s="17">
        <v>66.123112000000006</v>
      </c>
    </row>
    <row r="23" spans="1:12" ht="26.4" x14ac:dyDescent="0.3">
      <c r="A23" s="9" t="s">
        <v>96</v>
      </c>
      <c r="B23" s="28">
        <v>760</v>
      </c>
      <c r="C23" s="13">
        <v>0.46346898516840801</v>
      </c>
      <c r="D23" s="11">
        <v>54748</v>
      </c>
      <c r="E23" s="9" t="s">
        <v>84</v>
      </c>
      <c r="F23" s="28">
        <v>45</v>
      </c>
      <c r="G23" s="38" t="s">
        <v>402</v>
      </c>
      <c r="H23" s="12">
        <v>0.08</v>
      </c>
      <c r="I23" s="12">
        <v>0.55000000000000004</v>
      </c>
      <c r="J23" s="11">
        <v>25374</v>
      </c>
      <c r="K23" s="11">
        <v>1116.4559999999999</v>
      </c>
      <c r="L23" s="11">
        <v>92.665847999999997</v>
      </c>
    </row>
    <row r="24" spans="1:12" x14ac:dyDescent="0.3">
      <c r="A24" s="15" t="s">
        <v>97</v>
      </c>
      <c r="B24" s="29">
        <v>599</v>
      </c>
      <c r="C24" s="19">
        <v>0.12687924345295801</v>
      </c>
      <c r="D24" s="17">
        <v>49488</v>
      </c>
      <c r="E24" s="15" t="s">
        <v>79</v>
      </c>
      <c r="F24" s="29">
        <v>-25</v>
      </c>
      <c r="G24" s="20" t="s">
        <v>405</v>
      </c>
      <c r="H24" s="18">
        <v>0.18</v>
      </c>
      <c r="I24" s="18">
        <v>0.65</v>
      </c>
      <c r="J24" s="17">
        <v>6279</v>
      </c>
      <c r="K24" s="17">
        <v>734.64300000000003</v>
      </c>
      <c r="L24" s="17">
        <v>60.975369000000001</v>
      </c>
    </row>
    <row r="25" spans="1:12" x14ac:dyDescent="0.3">
      <c r="A25" s="9" t="s">
        <v>98</v>
      </c>
      <c r="B25" s="28">
        <v>777</v>
      </c>
      <c r="C25" s="13">
        <v>0.96616251253954799</v>
      </c>
      <c r="D25" s="11">
        <v>25918</v>
      </c>
      <c r="E25" s="9" t="s">
        <v>79</v>
      </c>
      <c r="F25" s="28">
        <v>-35</v>
      </c>
      <c r="G25" s="14" t="s">
        <v>405</v>
      </c>
      <c r="H25" s="12">
        <v>0.18</v>
      </c>
      <c r="I25" s="12">
        <v>0.65</v>
      </c>
      <c r="J25" s="11">
        <v>25041</v>
      </c>
      <c r="K25" s="11">
        <v>2929.797</v>
      </c>
      <c r="L25" s="11">
        <v>243.17315099999999</v>
      </c>
    </row>
    <row r="26" spans="1:12" x14ac:dyDescent="0.3">
      <c r="A26" s="15" t="s">
        <v>100</v>
      </c>
      <c r="B26" s="29">
        <v>382</v>
      </c>
      <c r="C26" s="19">
        <v>4.7564205919613002E-2</v>
      </c>
      <c r="D26" s="17">
        <v>43415</v>
      </c>
      <c r="E26" s="15" t="s">
        <v>84</v>
      </c>
      <c r="F26" s="29">
        <v>10</v>
      </c>
      <c r="G26" s="20" t="s">
        <v>405</v>
      </c>
      <c r="H26" s="18">
        <v>0.18</v>
      </c>
      <c r="I26" s="18">
        <v>0.65</v>
      </c>
      <c r="J26" s="17">
        <v>2065</v>
      </c>
      <c r="K26" s="17">
        <v>241.60499999999999</v>
      </c>
      <c r="L26" s="17">
        <v>20.053215000000002</v>
      </c>
    </row>
    <row r="27" spans="1:12" x14ac:dyDescent="0.3">
      <c r="A27" s="9" t="s">
        <v>101</v>
      </c>
      <c r="B27" s="28">
        <v>757</v>
      </c>
      <c r="C27" s="13">
        <v>0.236728666081265</v>
      </c>
      <c r="D27" s="11">
        <v>75162</v>
      </c>
      <c r="E27" s="9" t="s">
        <v>79</v>
      </c>
      <c r="F27" s="28">
        <v>35</v>
      </c>
      <c r="G27" s="14" t="s">
        <v>405</v>
      </c>
      <c r="H27" s="12">
        <v>0.18</v>
      </c>
      <c r="I27" s="12">
        <v>0.65</v>
      </c>
      <c r="J27" s="11">
        <v>17793</v>
      </c>
      <c r="K27" s="11">
        <v>2081.7809999999999</v>
      </c>
      <c r="L27" s="11">
        <v>172.787823</v>
      </c>
    </row>
    <row r="28" spans="1:12" x14ac:dyDescent="0.3">
      <c r="A28" s="15" t="s">
        <v>102</v>
      </c>
      <c r="B28" s="29">
        <v>597</v>
      </c>
      <c r="C28" s="19">
        <v>0.149156360734987</v>
      </c>
      <c r="D28" s="17">
        <v>42613</v>
      </c>
      <c r="E28" s="15" t="s">
        <v>84</v>
      </c>
      <c r="F28" s="29">
        <v>10</v>
      </c>
      <c r="G28" s="20" t="s">
        <v>405</v>
      </c>
      <c r="H28" s="18">
        <v>0.18</v>
      </c>
      <c r="I28" s="18">
        <v>0.65</v>
      </c>
      <c r="J28" s="17">
        <v>6356</v>
      </c>
      <c r="K28" s="17">
        <v>743.65200000000004</v>
      </c>
      <c r="L28" s="17">
        <v>61.723115999999997</v>
      </c>
    </row>
    <row r="29" spans="1:12" x14ac:dyDescent="0.3">
      <c r="A29" s="9" t="s">
        <v>103</v>
      </c>
      <c r="B29" s="28">
        <v>663</v>
      </c>
      <c r="C29" s="13">
        <v>0.49891514222584998</v>
      </c>
      <c r="D29" s="11">
        <v>50237</v>
      </c>
      <c r="E29" s="9" t="s">
        <v>79</v>
      </c>
      <c r="F29" s="28">
        <v>-5</v>
      </c>
      <c r="G29" s="14" t="s">
        <v>405</v>
      </c>
      <c r="H29" s="12">
        <v>0.18</v>
      </c>
      <c r="I29" s="12">
        <v>0.65</v>
      </c>
      <c r="J29" s="11">
        <v>25064</v>
      </c>
      <c r="K29" s="11">
        <v>2932.4879999999998</v>
      </c>
      <c r="L29" s="11">
        <v>243.39650399999999</v>
      </c>
    </row>
    <row r="30" spans="1:12" x14ac:dyDescent="0.3">
      <c r="A30" s="15" t="s">
        <v>104</v>
      </c>
      <c r="B30" s="29">
        <v>579</v>
      </c>
      <c r="C30" s="19">
        <v>0.422062054662313</v>
      </c>
      <c r="D30" s="17">
        <v>48699</v>
      </c>
      <c r="E30" s="15" t="s">
        <v>84</v>
      </c>
      <c r="F30" s="29">
        <v>-5</v>
      </c>
      <c r="G30" s="20" t="s">
        <v>405</v>
      </c>
      <c r="H30" s="18">
        <v>0.18</v>
      </c>
      <c r="I30" s="18">
        <v>0.65</v>
      </c>
      <c r="J30" s="17">
        <v>20554</v>
      </c>
      <c r="K30" s="17">
        <v>2404.8180000000002</v>
      </c>
      <c r="L30" s="17">
        <v>199.59989400000001</v>
      </c>
    </row>
    <row r="31" spans="1:12" ht="26.4" x14ac:dyDescent="0.3">
      <c r="A31" s="9" t="s">
        <v>105</v>
      </c>
      <c r="B31" s="28">
        <v>639</v>
      </c>
      <c r="C31" s="13">
        <v>0.27954251535725799</v>
      </c>
      <c r="D31" s="11">
        <v>49488</v>
      </c>
      <c r="E31" s="9" t="s">
        <v>95</v>
      </c>
      <c r="F31" s="28">
        <v>50</v>
      </c>
      <c r="G31" s="38" t="s">
        <v>402</v>
      </c>
      <c r="H31" s="12">
        <v>0.08</v>
      </c>
      <c r="I31" s="12">
        <v>0.55000000000000004</v>
      </c>
      <c r="J31" s="11">
        <v>13834</v>
      </c>
      <c r="K31" s="11">
        <v>608.69600000000003</v>
      </c>
      <c r="L31" s="11">
        <v>50.521768000000002</v>
      </c>
    </row>
    <row r="32" spans="1:12" x14ac:dyDescent="0.3">
      <c r="A32" s="15" t="s">
        <v>106</v>
      </c>
      <c r="B32" s="29">
        <v>815</v>
      </c>
      <c r="C32" s="19">
        <v>0.45381798258261702</v>
      </c>
      <c r="D32" s="17">
        <v>69356</v>
      </c>
      <c r="E32" s="15" t="s">
        <v>79</v>
      </c>
      <c r="F32" s="29">
        <v>20</v>
      </c>
      <c r="G32" s="20" t="s">
        <v>405</v>
      </c>
      <c r="H32" s="18">
        <v>0.18</v>
      </c>
      <c r="I32" s="18">
        <v>0.65</v>
      </c>
      <c r="J32" s="17">
        <v>31475</v>
      </c>
      <c r="K32" s="17">
        <v>3682.5749999999998</v>
      </c>
      <c r="L32" s="17">
        <v>305.65372500000001</v>
      </c>
    </row>
    <row r="33" spans="1:12" x14ac:dyDescent="0.3">
      <c r="A33" s="9" t="s">
        <v>107</v>
      </c>
      <c r="B33" s="28">
        <v>407</v>
      </c>
      <c r="C33" s="13">
        <v>0.206510714343213</v>
      </c>
      <c r="D33" s="11">
        <v>62113</v>
      </c>
      <c r="E33" s="9" t="s">
        <v>79</v>
      </c>
      <c r="F33" s="28">
        <v>-15</v>
      </c>
      <c r="G33" s="14" t="s">
        <v>405</v>
      </c>
      <c r="H33" s="12">
        <v>0.18</v>
      </c>
      <c r="I33" s="12">
        <v>0.65</v>
      </c>
      <c r="J33" s="11">
        <v>12827</v>
      </c>
      <c r="K33" s="11">
        <v>1500.759</v>
      </c>
      <c r="L33" s="11">
        <v>124.562997</v>
      </c>
    </row>
    <row r="34" spans="1:12" x14ac:dyDescent="0.3">
      <c r="A34" s="15" t="s">
        <v>108</v>
      </c>
      <c r="B34" s="29">
        <v>615</v>
      </c>
      <c r="C34" s="19">
        <v>-0.120053105844468</v>
      </c>
      <c r="D34" s="17">
        <v>35401</v>
      </c>
      <c r="E34" s="15" t="s">
        <v>79</v>
      </c>
      <c r="F34" s="29">
        <v>10</v>
      </c>
      <c r="G34" s="20" t="s">
        <v>405</v>
      </c>
      <c r="H34" s="18">
        <v>0.18</v>
      </c>
      <c r="I34" s="18">
        <v>0.65</v>
      </c>
      <c r="J34" s="17">
        <v>-4250</v>
      </c>
      <c r="K34" s="17">
        <v>-497.25</v>
      </c>
      <c r="L34" s="17">
        <v>-41.271749999999997</v>
      </c>
    </row>
    <row r="35" spans="1:12" x14ac:dyDescent="0.3">
      <c r="A35" s="9" t="s">
        <v>109</v>
      </c>
      <c r="B35" s="28">
        <v>413</v>
      </c>
      <c r="C35" s="13">
        <v>0.43527478876290898</v>
      </c>
      <c r="D35" s="11">
        <v>55388</v>
      </c>
      <c r="E35" s="9" t="s">
        <v>95</v>
      </c>
      <c r="F35" s="28">
        <v>0</v>
      </c>
      <c r="G35" s="14" t="s">
        <v>405</v>
      </c>
      <c r="H35" s="12">
        <v>0.18</v>
      </c>
      <c r="I35" s="12">
        <v>0.65</v>
      </c>
      <c r="J35" s="11">
        <v>24109</v>
      </c>
      <c r="K35" s="11">
        <v>2820.7530000000002</v>
      </c>
      <c r="L35" s="11">
        <v>234.122499</v>
      </c>
    </row>
    <row r="36" spans="1:12" x14ac:dyDescent="0.3">
      <c r="A36" s="15" t="s">
        <v>110</v>
      </c>
      <c r="B36" s="29">
        <v>466</v>
      </c>
      <c r="C36" s="19">
        <v>0.11855399288716501</v>
      </c>
      <c r="D36" s="17">
        <v>49488</v>
      </c>
      <c r="E36" s="15" t="s">
        <v>79</v>
      </c>
      <c r="F36" s="29">
        <v>-25</v>
      </c>
      <c r="G36" s="20" t="s">
        <v>405</v>
      </c>
      <c r="H36" s="18">
        <v>0.18</v>
      </c>
      <c r="I36" s="18">
        <v>0.65</v>
      </c>
      <c r="J36" s="17">
        <v>5867</v>
      </c>
      <c r="K36" s="17">
        <v>686.43899999999996</v>
      </c>
      <c r="L36" s="17">
        <v>56.974437000000002</v>
      </c>
    </row>
    <row r="37" spans="1:12" x14ac:dyDescent="0.3">
      <c r="A37" s="9" t="s">
        <v>111</v>
      </c>
      <c r="B37" s="28">
        <v>560</v>
      </c>
      <c r="C37" s="13">
        <v>0.33096328534197</v>
      </c>
      <c r="D37" s="11">
        <v>39521</v>
      </c>
      <c r="E37" s="9" t="s">
        <v>79</v>
      </c>
      <c r="F37" s="28">
        <v>-40</v>
      </c>
      <c r="G37" s="14" t="s">
        <v>405</v>
      </c>
      <c r="H37" s="12">
        <v>0.18</v>
      </c>
      <c r="I37" s="12">
        <v>0.65</v>
      </c>
      <c r="J37" s="11">
        <v>13080</v>
      </c>
      <c r="K37" s="11">
        <v>1530.36</v>
      </c>
      <c r="L37" s="11">
        <v>127.01988</v>
      </c>
    </row>
    <row r="38" spans="1:12" x14ac:dyDescent="0.3">
      <c r="A38" s="15" t="s">
        <v>112</v>
      </c>
      <c r="B38" s="29">
        <v>523</v>
      </c>
      <c r="C38" s="19">
        <v>0.42934870878674702</v>
      </c>
      <c r="D38" s="17">
        <v>36942</v>
      </c>
      <c r="E38" s="15" t="s">
        <v>84</v>
      </c>
      <c r="F38" s="29">
        <v>-5</v>
      </c>
      <c r="G38" s="20" t="s">
        <v>405</v>
      </c>
      <c r="H38" s="18">
        <v>0.18</v>
      </c>
      <c r="I38" s="18">
        <v>0.65</v>
      </c>
      <c r="J38" s="17">
        <v>15861</v>
      </c>
      <c r="K38" s="17">
        <v>1855.7370000000001</v>
      </c>
      <c r="L38" s="17">
        <v>154.02617100000001</v>
      </c>
    </row>
    <row r="39" spans="1:12" x14ac:dyDescent="0.3">
      <c r="A39" s="9" t="s">
        <v>113</v>
      </c>
      <c r="B39" s="28">
        <v>561</v>
      </c>
      <c r="C39" s="13">
        <v>0.113900099239166</v>
      </c>
      <c r="D39" s="11">
        <v>75575</v>
      </c>
      <c r="E39" s="9" t="s">
        <v>79</v>
      </c>
      <c r="F39" s="28">
        <v>-15</v>
      </c>
      <c r="G39" s="14" t="s">
        <v>405</v>
      </c>
      <c r="H39" s="12">
        <v>0.18</v>
      </c>
      <c r="I39" s="12">
        <v>0.65</v>
      </c>
      <c r="J39" s="11">
        <v>8608</v>
      </c>
      <c r="K39" s="11">
        <v>1007.136</v>
      </c>
      <c r="L39" s="11">
        <v>83.592287999999996</v>
      </c>
    </row>
    <row r="40" spans="1:12" x14ac:dyDescent="0.3">
      <c r="A40" s="15" t="s">
        <v>114</v>
      </c>
      <c r="B40" s="29">
        <v>550</v>
      </c>
      <c r="C40" s="19">
        <v>0.35284030953218398</v>
      </c>
      <c r="D40" s="17">
        <v>45488</v>
      </c>
      <c r="E40" s="15" t="s">
        <v>79</v>
      </c>
      <c r="F40" s="29">
        <v>-40</v>
      </c>
      <c r="G40" s="20" t="s">
        <v>405</v>
      </c>
      <c r="H40" s="18">
        <v>0.18</v>
      </c>
      <c r="I40" s="18">
        <v>0.65</v>
      </c>
      <c r="J40" s="17">
        <v>16050</v>
      </c>
      <c r="K40" s="17">
        <v>1877.85</v>
      </c>
      <c r="L40" s="17">
        <v>155.86154999999999</v>
      </c>
    </row>
    <row r="41" spans="1:12" ht="26.4" x14ac:dyDescent="0.3">
      <c r="A41" s="9" t="s">
        <v>115</v>
      </c>
      <c r="B41" s="28">
        <v>825</v>
      </c>
      <c r="C41" s="13">
        <v>0.117992590097676</v>
      </c>
      <c r="D41" s="11">
        <v>74225</v>
      </c>
      <c r="E41" s="9" t="s">
        <v>84</v>
      </c>
      <c r="F41" s="28">
        <v>70</v>
      </c>
      <c r="G41" s="38" t="s">
        <v>402</v>
      </c>
      <c r="H41" s="12">
        <v>0.08</v>
      </c>
      <c r="I41" s="12">
        <v>0.55000000000000004</v>
      </c>
      <c r="J41" s="11">
        <v>8758</v>
      </c>
      <c r="K41" s="11">
        <v>385.35199999999998</v>
      </c>
      <c r="L41" s="11">
        <v>31.984216</v>
      </c>
    </row>
    <row r="42" spans="1:12" x14ac:dyDescent="0.3">
      <c r="A42" s="15" t="s">
        <v>116</v>
      </c>
      <c r="B42" s="29">
        <v>425</v>
      </c>
      <c r="C42" s="19">
        <v>0.32789888539934697</v>
      </c>
      <c r="D42" s="17">
        <v>64956</v>
      </c>
      <c r="E42" s="15" t="s">
        <v>95</v>
      </c>
      <c r="F42" s="29">
        <v>10</v>
      </c>
      <c r="G42" s="20" t="s">
        <v>405</v>
      </c>
      <c r="H42" s="18">
        <v>0.18</v>
      </c>
      <c r="I42" s="18">
        <v>0.65</v>
      </c>
      <c r="J42" s="17">
        <v>21299</v>
      </c>
      <c r="K42" s="17">
        <v>2491.9830000000002</v>
      </c>
      <c r="L42" s="17">
        <v>206.83458899999999</v>
      </c>
    </row>
    <row r="43" spans="1:12" x14ac:dyDescent="0.3">
      <c r="A43" s="9" t="s">
        <v>117</v>
      </c>
      <c r="B43" s="28">
        <v>505</v>
      </c>
      <c r="C43" s="13">
        <v>0.181225275312734</v>
      </c>
      <c r="D43" s="11">
        <v>56118</v>
      </c>
      <c r="E43" s="9" t="s">
        <v>95</v>
      </c>
      <c r="F43" s="28">
        <v>15</v>
      </c>
      <c r="G43" s="14" t="s">
        <v>405</v>
      </c>
      <c r="H43" s="12">
        <v>0.18</v>
      </c>
      <c r="I43" s="12">
        <v>0.65</v>
      </c>
      <c r="J43" s="11">
        <v>10170</v>
      </c>
      <c r="K43" s="11">
        <v>1189.8900000000001</v>
      </c>
      <c r="L43" s="11">
        <v>98.760869999999997</v>
      </c>
    </row>
    <row r="44" spans="1:12" x14ac:dyDescent="0.3">
      <c r="A44" s="15" t="s">
        <v>118</v>
      </c>
      <c r="B44" s="29">
        <v>439</v>
      </c>
      <c r="C44" s="19">
        <v>0.35643093611326299</v>
      </c>
      <c r="D44" s="17">
        <v>56788</v>
      </c>
      <c r="E44" s="15" t="s">
        <v>84</v>
      </c>
      <c r="F44" s="29">
        <v>-5</v>
      </c>
      <c r="G44" s="20" t="s">
        <v>405</v>
      </c>
      <c r="H44" s="18">
        <v>0.18</v>
      </c>
      <c r="I44" s="18">
        <v>0.65</v>
      </c>
      <c r="J44" s="17">
        <v>20241</v>
      </c>
      <c r="K44" s="17">
        <v>2368.1970000000001</v>
      </c>
      <c r="L44" s="17">
        <v>196.560351</v>
      </c>
    </row>
    <row r="45" spans="1:12" x14ac:dyDescent="0.3">
      <c r="A45" s="9" t="s">
        <v>119</v>
      </c>
      <c r="B45" s="28">
        <v>361</v>
      </c>
      <c r="C45" s="13">
        <v>1.0104159481271999</v>
      </c>
      <c r="D45" s="11">
        <v>28994</v>
      </c>
      <c r="E45" s="9" t="s">
        <v>95</v>
      </c>
      <c r="F45" s="28">
        <v>-45</v>
      </c>
      <c r="G45" s="14" t="s">
        <v>405</v>
      </c>
      <c r="H45" s="12">
        <v>0.18</v>
      </c>
      <c r="I45" s="12">
        <v>0.65</v>
      </c>
      <c r="J45" s="11">
        <v>29296</v>
      </c>
      <c r="K45" s="11">
        <v>3427.6320000000001</v>
      </c>
      <c r="L45" s="11">
        <v>284.49345599999998</v>
      </c>
    </row>
    <row r="46" spans="1:12" x14ac:dyDescent="0.3">
      <c r="A46" s="15" t="s">
        <v>120</v>
      </c>
      <c r="B46" s="29">
        <v>582</v>
      </c>
      <c r="C46" s="19">
        <v>0.49450114873262802</v>
      </c>
      <c r="D46" s="17">
        <v>53102</v>
      </c>
      <c r="E46" s="15" t="s">
        <v>95</v>
      </c>
      <c r="F46" s="29">
        <v>0</v>
      </c>
      <c r="G46" s="20" t="s">
        <v>405</v>
      </c>
      <c r="H46" s="18">
        <v>0.18</v>
      </c>
      <c r="I46" s="18">
        <v>0.65</v>
      </c>
      <c r="J46" s="17">
        <v>26259</v>
      </c>
      <c r="K46" s="17">
        <v>3072.3029999999999</v>
      </c>
      <c r="L46" s="17">
        <v>255.001149</v>
      </c>
    </row>
    <row r="47" spans="1:12" x14ac:dyDescent="0.3">
      <c r="A47" s="9" t="s">
        <v>121</v>
      </c>
      <c r="B47" s="28">
        <v>353</v>
      </c>
      <c r="C47" s="13">
        <v>0.27150375412251798</v>
      </c>
      <c r="D47" s="11">
        <v>71255</v>
      </c>
      <c r="E47" s="9" t="s">
        <v>79</v>
      </c>
      <c r="F47" s="28">
        <v>-15</v>
      </c>
      <c r="G47" s="14" t="s">
        <v>405</v>
      </c>
      <c r="H47" s="12">
        <v>0.18</v>
      </c>
      <c r="I47" s="12">
        <v>0.65</v>
      </c>
      <c r="J47" s="11">
        <v>19346</v>
      </c>
      <c r="K47" s="11">
        <v>2263.482</v>
      </c>
      <c r="L47" s="11">
        <v>187.86900600000001</v>
      </c>
    </row>
    <row r="48" spans="1:12" x14ac:dyDescent="0.3">
      <c r="A48" s="15" t="s">
        <v>122</v>
      </c>
      <c r="B48" s="29">
        <v>645</v>
      </c>
      <c r="C48" s="19">
        <v>0.200763865825307</v>
      </c>
      <c r="D48" s="17">
        <v>60220</v>
      </c>
      <c r="E48" s="15" t="s">
        <v>79</v>
      </c>
      <c r="F48" s="29">
        <v>20</v>
      </c>
      <c r="G48" s="20" t="s">
        <v>405</v>
      </c>
      <c r="H48" s="18">
        <v>0.18</v>
      </c>
      <c r="I48" s="18">
        <v>0.65</v>
      </c>
      <c r="J48" s="17">
        <v>12090</v>
      </c>
      <c r="K48" s="17">
        <v>1414.53</v>
      </c>
      <c r="L48" s="17">
        <v>117.40599</v>
      </c>
    </row>
    <row r="49" spans="1:12" x14ac:dyDescent="0.3">
      <c r="A49" s="9" t="s">
        <v>123</v>
      </c>
      <c r="B49" s="28">
        <v>823</v>
      </c>
      <c r="C49" s="13">
        <v>0.406632896874701</v>
      </c>
      <c r="D49" s="11">
        <v>52315</v>
      </c>
      <c r="E49" s="9" t="s">
        <v>79</v>
      </c>
      <c r="F49" s="28">
        <v>10</v>
      </c>
      <c r="G49" s="14" t="s">
        <v>405</v>
      </c>
      <c r="H49" s="12">
        <v>0.18</v>
      </c>
      <c r="I49" s="12">
        <v>0.65</v>
      </c>
      <c r="J49" s="11">
        <v>21273</v>
      </c>
      <c r="K49" s="11">
        <v>2488.9409999999998</v>
      </c>
      <c r="L49" s="11">
        <v>206.58210299999999</v>
      </c>
    </row>
    <row r="50" spans="1:12" x14ac:dyDescent="0.3">
      <c r="A50" s="15" t="s">
        <v>124</v>
      </c>
      <c r="B50" s="29">
        <v>435</v>
      </c>
      <c r="C50" s="19">
        <v>0.19072662165197701</v>
      </c>
      <c r="D50" s="17">
        <v>75679</v>
      </c>
      <c r="E50" s="15" t="s">
        <v>95</v>
      </c>
      <c r="F50" s="29">
        <v>25</v>
      </c>
      <c r="G50" s="20" t="s">
        <v>405</v>
      </c>
      <c r="H50" s="18">
        <v>0.18</v>
      </c>
      <c r="I50" s="18">
        <v>0.65</v>
      </c>
      <c r="J50" s="17">
        <v>14434</v>
      </c>
      <c r="K50" s="17">
        <v>1688.778</v>
      </c>
      <c r="L50" s="17">
        <v>140.16857400000001</v>
      </c>
    </row>
    <row r="51" spans="1:12" x14ac:dyDescent="0.3">
      <c r="A51" s="9" t="s">
        <v>125</v>
      </c>
      <c r="B51" s="28">
        <v>629</v>
      </c>
      <c r="C51" s="13">
        <v>0.45758512620701303</v>
      </c>
      <c r="D51" s="11">
        <v>47224</v>
      </c>
      <c r="E51" s="9" t="s">
        <v>79</v>
      </c>
      <c r="F51" s="28">
        <v>-5</v>
      </c>
      <c r="G51" s="14" t="s">
        <v>405</v>
      </c>
      <c r="H51" s="12">
        <v>0.18</v>
      </c>
      <c r="I51" s="12">
        <v>0.65</v>
      </c>
      <c r="J51" s="11">
        <v>21609</v>
      </c>
      <c r="K51" s="11">
        <v>2528.2530000000002</v>
      </c>
      <c r="L51" s="11">
        <v>209.844999</v>
      </c>
    </row>
    <row r="52" spans="1:12" x14ac:dyDescent="0.3">
      <c r="A52" s="15" t="s">
        <v>126</v>
      </c>
      <c r="B52" s="29">
        <v>443</v>
      </c>
      <c r="C52" s="19">
        <v>0.154224089222984</v>
      </c>
      <c r="D52" s="17">
        <v>40707</v>
      </c>
      <c r="E52" s="15" t="s">
        <v>95</v>
      </c>
      <c r="F52" s="29">
        <v>15</v>
      </c>
      <c r="G52" s="20" t="s">
        <v>405</v>
      </c>
      <c r="H52" s="18">
        <v>0.18</v>
      </c>
      <c r="I52" s="18">
        <v>0.65</v>
      </c>
      <c r="J52" s="17">
        <v>6278</v>
      </c>
      <c r="K52" s="17">
        <v>734.52599999999995</v>
      </c>
      <c r="L52" s="17">
        <v>60.965657999999998</v>
      </c>
    </row>
    <row r="53" spans="1:12" x14ac:dyDescent="0.3">
      <c r="A53" s="9" t="s">
        <v>127</v>
      </c>
      <c r="B53" s="28">
        <v>735</v>
      </c>
      <c r="C53" s="13">
        <v>0.50582140057736102</v>
      </c>
      <c r="D53" s="11">
        <v>52307</v>
      </c>
      <c r="E53" s="9" t="s">
        <v>79</v>
      </c>
      <c r="F53" s="28">
        <v>-5</v>
      </c>
      <c r="G53" s="14" t="s">
        <v>405</v>
      </c>
      <c r="H53" s="12">
        <v>0.18</v>
      </c>
      <c r="I53" s="12">
        <v>0.65</v>
      </c>
      <c r="J53" s="11">
        <v>26458</v>
      </c>
      <c r="K53" s="11">
        <v>3095.5859999999998</v>
      </c>
      <c r="L53" s="11">
        <v>256.93363799999997</v>
      </c>
    </row>
    <row r="54" spans="1:12" x14ac:dyDescent="0.3">
      <c r="A54" s="15" t="s">
        <v>128</v>
      </c>
      <c r="B54" s="29">
        <v>581</v>
      </c>
      <c r="C54" s="19">
        <v>0.32954453062750999</v>
      </c>
      <c r="D54" s="17">
        <v>61497</v>
      </c>
      <c r="E54" s="15" t="s">
        <v>95</v>
      </c>
      <c r="F54" s="29">
        <v>10</v>
      </c>
      <c r="G54" s="20" t="s">
        <v>405</v>
      </c>
      <c r="H54" s="18">
        <v>0.18</v>
      </c>
      <c r="I54" s="18">
        <v>0.65</v>
      </c>
      <c r="J54" s="17">
        <v>20266</v>
      </c>
      <c r="K54" s="17">
        <v>2371.1219999999998</v>
      </c>
      <c r="L54" s="17">
        <v>196.80312599999999</v>
      </c>
    </row>
    <row r="55" spans="1:12" x14ac:dyDescent="0.3">
      <c r="A55" s="9" t="s">
        <v>129</v>
      </c>
      <c r="B55" s="28">
        <v>435</v>
      </c>
      <c r="C55" s="13">
        <v>1.55440927660628</v>
      </c>
      <c r="D55" s="11">
        <v>24233</v>
      </c>
      <c r="E55" s="9" t="s">
        <v>84</v>
      </c>
      <c r="F55" s="28">
        <v>-50</v>
      </c>
      <c r="G55" s="14" t="s">
        <v>405</v>
      </c>
      <c r="H55" s="12">
        <v>0.18</v>
      </c>
      <c r="I55" s="12">
        <v>0.65</v>
      </c>
      <c r="J55" s="11">
        <v>37668</v>
      </c>
      <c r="K55" s="11">
        <v>4407.1559999999999</v>
      </c>
      <c r="L55" s="11">
        <v>365.793948</v>
      </c>
    </row>
    <row r="56" spans="1:12" ht="26.4" x14ac:dyDescent="0.3">
      <c r="A56" s="15" t="s">
        <v>130</v>
      </c>
      <c r="B56" s="29">
        <v>788</v>
      </c>
      <c r="C56" s="19">
        <v>0.56101560628673597</v>
      </c>
      <c r="D56" s="17">
        <v>54273</v>
      </c>
      <c r="E56" s="15" t="s">
        <v>84</v>
      </c>
      <c r="F56" s="29">
        <v>45</v>
      </c>
      <c r="G56" s="39" t="s">
        <v>402</v>
      </c>
      <c r="H56" s="18">
        <v>0.08</v>
      </c>
      <c r="I56" s="18">
        <v>0.55000000000000004</v>
      </c>
      <c r="J56" s="17">
        <v>30448</v>
      </c>
      <c r="K56" s="17">
        <v>1339.712</v>
      </c>
      <c r="L56" s="17">
        <v>111.196096</v>
      </c>
    </row>
    <row r="57" spans="1:12" x14ac:dyDescent="0.3">
      <c r="A57" s="9" t="s">
        <v>131</v>
      </c>
      <c r="B57" s="28">
        <v>700</v>
      </c>
      <c r="C57" s="13">
        <v>0.394642426192583</v>
      </c>
      <c r="D57" s="11">
        <v>62155</v>
      </c>
      <c r="E57" s="9" t="s">
        <v>79</v>
      </c>
      <c r="F57" s="28">
        <v>5</v>
      </c>
      <c r="G57" s="14" t="s">
        <v>405</v>
      </c>
      <c r="H57" s="12">
        <v>0.18</v>
      </c>
      <c r="I57" s="12">
        <v>0.65</v>
      </c>
      <c r="J57" s="11">
        <v>24529</v>
      </c>
      <c r="K57" s="11">
        <v>2869.893</v>
      </c>
      <c r="L57" s="11">
        <v>238.20111900000001</v>
      </c>
    </row>
    <row r="58" spans="1:12" x14ac:dyDescent="0.3">
      <c r="A58" s="15" t="s">
        <v>132</v>
      </c>
      <c r="B58" s="29">
        <v>748</v>
      </c>
      <c r="C58" s="19">
        <v>0.41362202154281402</v>
      </c>
      <c r="D58" s="17">
        <v>45955</v>
      </c>
      <c r="E58" s="15" t="s">
        <v>95</v>
      </c>
      <c r="F58" s="29">
        <v>35</v>
      </c>
      <c r="G58" s="20" t="s">
        <v>405</v>
      </c>
      <c r="H58" s="18">
        <v>0.18</v>
      </c>
      <c r="I58" s="18">
        <v>0.65</v>
      </c>
      <c r="J58" s="17">
        <v>19008</v>
      </c>
      <c r="K58" s="17">
        <v>2223.9360000000001</v>
      </c>
      <c r="L58" s="17">
        <v>184.58668800000001</v>
      </c>
    </row>
    <row r="59" spans="1:12" x14ac:dyDescent="0.3">
      <c r="A59" s="9" t="s">
        <v>133</v>
      </c>
      <c r="B59" s="28">
        <v>569</v>
      </c>
      <c r="C59" s="13">
        <v>0.21264488619302099</v>
      </c>
      <c r="D59" s="11">
        <v>66604</v>
      </c>
      <c r="E59" s="9" t="s">
        <v>84</v>
      </c>
      <c r="F59" s="28">
        <v>20</v>
      </c>
      <c r="G59" s="14" t="s">
        <v>405</v>
      </c>
      <c r="H59" s="12">
        <v>0.18</v>
      </c>
      <c r="I59" s="12">
        <v>0.65</v>
      </c>
      <c r="J59" s="11">
        <v>14163</v>
      </c>
      <c r="K59" s="11">
        <v>1657.0709999999999</v>
      </c>
      <c r="L59" s="11">
        <v>137.53689299999999</v>
      </c>
    </row>
    <row r="60" spans="1:12" x14ac:dyDescent="0.3">
      <c r="A60" s="15" t="s">
        <v>134</v>
      </c>
      <c r="B60" s="29">
        <v>316</v>
      </c>
      <c r="C60" s="19">
        <v>0.46192425106511498</v>
      </c>
      <c r="D60" s="17">
        <v>59618</v>
      </c>
      <c r="E60" s="15" t="s">
        <v>84</v>
      </c>
      <c r="F60" s="29">
        <v>-5</v>
      </c>
      <c r="G60" s="20" t="s">
        <v>405</v>
      </c>
      <c r="H60" s="18">
        <v>0.18</v>
      </c>
      <c r="I60" s="18">
        <v>0.65</v>
      </c>
      <c r="J60" s="17">
        <v>27539</v>
      </c>
      <c r="K60" s="17">
        <v>3222.0630000000001</v>
      </c>
      <c r="L60" s="17">
        <v>267.43122899999997</v>
      </c>
    </row>
    <row r="61" spans="1:12" x14ac:dyDescent="0.3">
      <c r="A61" s="9" t="s">
        <v>135</v>
      </c>
      <c r="B61" s="28">
        <v>568</v>
      </c>
      <c r="C61" s="13">
        <v>0.22118581118106201</v>
      </c>
      <c r="D61" s="11">
        <v>82121</v>
      </c>
      <c r="E61" s="9" t="s">
        <v>79</v>
      </c>
      <c r="F61" s="28">
        <v>-15</v>
      </c>
      <c r="G61" s="14" t="s">
        <v>405</v>
      </c>
      <c r="H61" s="12">
        <v>0.18</v>
      </c>
      <c r="I61" s="12">
        <v>0.65</v>
      </c>
      <c r="J61" s="11">
        <v>18164</v>
      </c>
      <c r="K61" s="11">
        <v>2125.1880000000001</v>
      </c>
      <c r="L61" s="11">
        <v>176.390604</v>
      </c>
    </row>
    <row r="62" spans="1:12" x14ac:dyDescent="0.3">
      <c r="A62" s="15" t="s">
        <v>136</v>
      </c>
      <c r="B62" s="29">
        <v>781</v>
      </c>
      <c r="C62" s="19">
        <v>0.75751787511938296</v>
      </c>
      <c r="D62" s="17">
        <v>38741</v>
      </c>
      <c r="E62" s="15" t="s">
        <v>79</v>
      </c>
      <c r="F62" s="29">
        <v>-20</v>
      </c>
      <c r="G62" s="20" t="s">
        <v>405</v>
      </c>
      <c r="H62" s="18">
        <v>0.18</v>
      </c>
      <c r="I62" s="18">
        <v>0.65</v>
      </c>
      <c r="J62" s="17">
        <v>29347</v>
      </c>
      <c r="K62" s="17">
        <v>3433.5990000000002</v>
      </c>
      <c r="L62" s="17">
        <v>284.98871700000001</v>
      </c>
    </row>
    <row r="63" spans="1:12" x14ac:dyDescent="0.3">
      <c r="A63" s="9" t="s">
        <v>137</v>
      </c>
      <c r="B63" s="28">
        <v>518</v>
      </c>
      <c r="C63" s="13">
        <v>0.37154384335825602</v>
      </c>
      <c r="D63" s="11">
        <v>62461</v>
      </c>
      <c r="E63" s="9" t="s">
        <v>95</v>
      </c>
      <c r="F63" s="28">
        <v>10</v>
      </c>
      <c r="G63" s="14" t="s">
        <v>405</v>
      </c>
      <c r="H63" s="12">
        <v>0.18</v>
      </c>
      <c r="I63" s="12">
        <v>0.65</v>
      </c>
      <c r="J63" s="11">
        <v>23207</v>
      </c>
      <c r="K63" s="11">
        <v>2715.2190000000001</v>
      </c>
      <c r="L63" s="11">
        <v>225.36317700000001</v>
      </c>
    </row>
    <row r="64" spans="1:12" x14ac:dyDescent="0.3">
      <c r="A64" s="15" t="s">
        <v>138</v>
      </c>
      <c r="B64" s="29">
        <v>618</v>
      </c>
      <c r="C64" s="19">
        <v>0.66966033390903901</v>
      </c>
      <c r="D64" s="17">
        <v>34740</v>
      </c>
      <c r="E64" s="15" t="s">
        <v>84</v>
      </c>
      <c r="F64" s="29">
        <v>0</v>
      </c>
      <c r="G64" s="20" t="s">
        <v>405</v>
      </c>
      <c r="H64" s="18">
        <v>0.18</v>
      </c>
      <c r="I64" s="18">
        <v>0.65</v>
      </c>
      <c r="J64" s="17">
        <v>23264</v>
      </c>
      <c r="K64" s="17">
        <v>2721.8879999999999</v>
      </c>
      <c r="L64" s="17">
        <v>225.91670400000001</v>
      </c>
    </row>
    <row r="65" spans="1:12" x14ac:dyDescent="0.3">
      <c r="A65" s="9" t="s">
        <v>139</v>
      </c>
      <c r="B65" s="28">
        <v>537</v>
      </c>
      <c r="C65" s="13">
        <v>0.96065192083818396</v>
      </c>
      <c r="D65" s="11">
        <v>25770</v>
      </c>
      <c r="E65" s="9" t="s">
        <v>95</v>
      </c>
      <c r="F65" s="28">
        <v>-45</v>
      </c>
      <c r="G65" s="14" t="s">
        <v>405</v>
      </c>
      <c r="H65" s="12">
        <v>0.18</v>
      </c>
      <c r="I65" s="12">
        <v>0.65</v>
      </c>
      <c r="J65" s="11">
        <v>24756</v>
      </c>
      <c r="K65" s="11">
        <v>2896.4520000000002</v>
      </c>
      <c r="L65" s="11">
        <v>240.40551600000001</v>
      </c>
    </row>
    <row r="66" spans="1:12" x14ac:dyDescent="0.3">
      <c r="A66" s="15" t="s">
        <v>140</v>
      </c>
      <c r="B66" s="29">
        <v>844</v>
      </c>
      <c r="C66" s="19">
        <v>0.64945805722504801</v>
      </c>
      <c r="D66" s="17">
        <v>19467</v>
      </c>
      <c r="E66" s="15" t="s">
        <v>95</v>
      </c>
      <c r="F66" s="29">
        <v>5</v>
      </c>
      <c r="G66" s="20" t="s">
        <v>405</v>
      </c>
      <c r="H66" s="18">
        <v>0.18</v>
      </c>
      <c r="I66" s="18">
        <v>0.65</v>
      </c>
      <c r="J66" s="17">
        <v>12643</v>
      </c>
      <c r="K66" s="17">
        <v>1479.231</v>
      </c>
      <c r="L66" s="17">
        <v>122.776173</v>
      </c>
    </row>
    <row r="67" spans="1:12" x14ac:dyDescent="0.3">
      <c r="A67" s="9" t="s">
        <v>141</v>
      </c>
      <c r="B67" s="28">
        <v>584</v>
      </c>
      <c r="C67" s="13">
        <v>0.203581575548859</v>
      </c>
      <c r="D67" s="11">
        <v>58075</v>
      </c>
      <c r="E67" s="9" t="s">
        <v>79</v>
      </c>
      <c r="F67" s="28">
        <v>-25</v>
      </c>
      <c r="G67" s="14" t="s">
        <v>405</v>
      </c>
      <c r="H67" s="12">
        <v>0.18</v>
      </c>
      <c r="I67" s="12">
        <v>0.65</v>
      </c>
      <c r="J67" s="11">
        <v>11823</v>
      </c>
      <c r="K67" s="11">
        <v>1383.2909999999999</v>
      </c>
      <c r="L67" s="11">
        <v>114.813153</v>
      </c>
    </row>
    <row r="68" spans="1:12" x14ac:dyDescent="0.3">
      <c r="A68" s="15" t="s">
        <v>142</v>
      </c>
      <c r="B68" s="29">
        <v>336</v>
      </c>
      <c r="C68" s="19">
        <v>0.21882344022439501</v>
      </c>
      <c r="D68" s="17">
        <v>52764</v>
      </c>
      <c r="E68" s="15" t="s">
        <v>95</v>
      </c>
      <c r="F68" s="29">
        <v>15</v>
      </c>
      <c r="G68" s="20" t="s">
        <v>405</v>
      </c>
      <c r="H68" s="18">
        <v>0.18</v>
      </c>
      <c r="I68" s="18">
        <v>0.65</v>
      </c>
      <c r="J68" s="17">
        <v>11546</v>
      </c>
      <c r="K68" s="17">
        <v>1350.8820000000001</v>
      </c>
      <c r="L68" s="17">
        <v>112.123206</v>
      </c>
    </row>
    <row r="69" spans="1:12" x14ac:dyDescent="0.3">
      <c r="A69" s="9" t="s">
        <v>143</v>
      </c>
      <c r="B69" s="28">
        <v>402</v>
      </c>
      <c r="C69" s="13">
        <v>0.66286728640164405</v>
      </c>
      <c r="D69" s="11">
        <v>42814</v>
      </c>
      <c r="E69" s="9" t="s">
        <v>95</v>
      </c>
      <c r="F69" s="28">
        <v>-30</v>
      </c>
      <c r="G69" s="14" t="s">
        <v>405</v>
      </c>
      <c r="H69" s="12">
        <v>0.18</v>
      </c>
      <c r="I69" s="12">
        <v>0.65</v>
      </c>
      <c r="J69" s="11">
        <v>28380</v>
      </c>
      <c r="K69" s="11">
        <v>3320.46</v>
      </c>
      <c r="L69" s="11">
        <v>275.59818000000001</v>
      </c>
    </row>
    <row r="70" spans="1:12" x14ac:dyDescent="0.3">
      <c r="A70" s="15" t="s">
        <v>144</v>
      </c>
      <c r="B70" s="29">
        <v>729</v>
      </c>
      <c r="C70" s="19">
        <v>0.53143565414369398</v>
      </c>
      <c r="D70" s="17">
        <v>23397</v>
      </c>
      <c r="E70" s="15" t="s">
        <v>84</v>
      </c>
      <c r="F70" s="29">
        <v>15</v>
      </c>
      <c r="G70" s="20" t="s">
        <v>405</v>
      </c>
      <c r="H70" s="18">
        <v>0.18</v>
      </c>
      <c r="I70" s="18">
        <v>0.65</v>
      </c>
      <c r="J70" s="17">
        <v>12434</v>
      </c>
      <c r="K70" s="17">
        <v>1454.778</v>
      </c>
      <c r="L70" s="17">
        <v>120.746574</v>
      </c>
    </row>
    <row r="71" spans="1:12" x14ac:dyDescent="0.3">
      <c r="A71" s="9" t="s">
        <v>145</v>
      </c>
      <c r="B71" s="28">
        <v>538</v>
      </c>
      <c r="C71" s="13">
        <v>0.33879023307436201</v>
      </c>
      <c r="D71" s="11">
        <v>39644</v>
      </c>
      <c r="E71" s="9" t="s">
        <v>95</v>
      </c>
      <c r="F71" s="28">
        <v>0</v>
      </c>
      <c r="G71" s="14" t="s">
        <v>405</v>
      </c>
      <c r="H71" s="12">
        <v>0.18</v>
      </c>
      <c r="I71" s="12">
        <v>0.65</v>
      </c>
      <c r="J71" s="11">
        <v>13431</v>
      </c>
      <c r="K71" s="11">
        <v>1571.4269999999999</v>
      </c>
      <c r="L71" s="11">
        <v>130.42844099999999</v>
      </c>
    </row>
    <row r="72" spans="1:12" x14ac:dyDescent="0.3">
      <c r="A72" s="15" t="s">
        <v>146</v>
      </c>
      <c r="B72" s="29">
        <v>424</v>
      </c>
      <c r="C72" s="19">
        <v>0.48540780248097298</v>
      </c>
      <c r="D72" s="17">
        <v>50061</v>
      </c>
      <c r="E72" s="15" t="s">
        <v>84</v>
      </c>
      <c r="F72" s="29">
        <v>-5</v>
      </c>
      <c r="G72" s="20" t="s">
        <v>405</v>
      </c>
      <c r="H72" s="18">
        <v>0.18</v>
      </c>
      <c r="I72" s="18">
        <v>0.65</v>
      </c>
      <c r="J72" s="17">
        <v>24300</v>
      </c>
      <c r="K72" s="17">
        <v>2843.1</v>
      </c>
      <c r="L72" s="17">
        <v>235.97730000000001</v>
      </c>
    </row>
    <row r="73" spans="1:12" x14ac:dyDescent="0.3">
      <c r="A73" s="9" t="s">
        <v>147</v>
      </c>
      <c r="B73" s="28">
        <v>487</v>
      </c>
      <c r="C73" s="13">
        <v>0.29054250541213</v>
      </c>
      <c r="D73" s="11">
        <v>61898</v>
      </c>
      <c r="E73" s="9" t="s">
        <v>84</v>
      </c>
      <c r="F73" s="28">
        <v>20</v>
      </c>
      <c r="G73" s="14" t="s">
        <v>405</v>
      </c>
      <c r="H73" s="12">
        <v>0.18</v>
      </c>
      <c r="I73" s="12">
        <v>0.65</v>
      </c>
      <c r="J73" s="11">
        <v>17984</v>
      </c>
      <c r="K73" s="11">
        <v>2104.1280000000002</v>
      </c>
      <c r="L73" s="11">
        <v>174.64262400000001</v>
      </c>
    </row>
    <row r="74" spans="1:12" x14ac:dyDescent="0.3">
      <c r="A74" s="15" t="s">
        <v>148</v>
      </c>
      <c r="B74" s="29">
        <v>555</v>
      </c>
      <c r="C74" s="19">
        <v>0.34093101784852903</v>
      </c>
      <c r="D74" s="17">
        <v>49752</v>
      </c>
      <c r="E74" s="15" t="s">
        <v>95</v>
      </c>
      <c r="F74" s="29">
        <v>0</v>
      </c>
      <c r="G74" s="20" t="s">
        <v>405</v>
      </c>
      <c r="H74" s="18">
        <v>0.18</v>
      </c>
      <c r="I74" s="18">
        <v>0.65</v>
      </c>
      <c r="J74" s="17">
        <v>16962</v>
      </c>
      <c r="K74" s="17">
        <v>1984.5540000000001</v>
      </c>
      <c r="L74" s="17">
        <v>164.71798200000001</v>
      </c>
    </row>
    <row r="75" spans="1:12" ht="26.4" x14ac:dyDescent="0.3">
      <c r="A75" s="9" t="s">
        <v>149</v>
      </c>
      <c r="B75" s="28">
        <v>829</v>
      </c>
      <c r="C75" s="13">
        <v>0.302486008069764</v>
      </c>
      <c r="D75" s="11">
        <v>53781</v>
      </c>
      <c r="E75" s="9" t="s">
        <v>95</v>
      </c>
      <c r="F75" s="28">
        <v>50</v>
      </c>
      <c r="G75" s="38" t="s">
        <v>402</v>
      </c>
      <c r="H75" s="12">
        <v>0.08</v>
      </c>
      <c r="I75" s="12">
        <v>0.55000000000000004</v>
      </c>
      <c r="J75" s="11">
        <v>16268</v>
      </c>
      <c r="K75" s="11">
        <v>715.79200000000003</v>
      </c>
      <c r="L75" s="11">
        <v>59.410736</v>
      </c>
    </row>
    <row r="76" spans="1:12" ht="26.4" x14ac:dyDescent="0.3">
      <c r="A76" s="15" t="s">
        <v>150</v>
      </c>
      <c r="B76" s="29">
        <v>691</v>
      </c>
      <c r="C76" s="19">
        <v>3.1448667658595997E-2</v>
      </c>
      <c r="D76" s="17">
        <v>44358</v>
      </c>
      <c r="E76" s="15" t="s">
        <v>84</v>
      </c>
      <c r="F76" s="29">
        <v>45</v>
      </c>
      <c r="G76" s="39" t="s">
        <v>402</v>
      </c>
      <c r="H76" s="18">
        <v>0.08</v>
      </c>
      <c r="I76" s="18">
        <v>0.55000000000000004</v>
      </c>
      <c r="J76" s="17">
        <v>1395</v>
      </c>
      <c r="K76" s="17">
        <v>61.38</v>
      </c>
      <c r="L76" s="17">
        <v>5.0945400000000003</v>
      </c>
    </row>
    <row r="77" spans="1:12" x14ac:dyDescent="0.3">
      <c r="A77" s="9" t="s">
        <v>151</v>
      </c>
      <c r="B77" s="28">
        <v>767</v>
      </c>
      <c r="C77" s="13">
        <v>0.16087777748629301</v>
      </c>
      <c r="D77" s="11">
        <v>76238</v>
      </c>
      <c r="E77" s="9" t="s">
        <v>95</v>
      </c>
      <c r="F77" s="28">
        <v>75</v>
      </c>
      <c r="G77" s="4" t="s">
        <v>399</v>
      </c>
      <c r="H77" s="12">
        <v>0.02</v>
      </c>
      <c r="I77" s="12">
        <v>0.4</v>
      </c>
      <c r="J77" s="11">
        <v>12265</v>
      </c>
      <c r="K77" s="11">
        <v>98.12</v>
      </c>
      <c r="L77" s="11">
        <v>8.1439599999999999</v>
      </c>
    </row>
    <row r="78" spans="1:12" x14ac:dyDescent="0.3">
      <c r="A78" s="15" t="s">
        <v>152</v>
      </c>
      <c r="B78" s="29">
        <v>552</v>
      </c>
      <c r="C78" s="19">
        <v>0.84815412083165398</v>
      </c>
      <c r="D78" s="17">
        <v>34726</v>
      </c>
      <c r="E78" s="15" t="s">
        <v>84</v>
      </c>
      <c r="F78" s="29">
        <v>-35</v>
      </c>
      <c r="G78" s="20" t="s">
        <v>405</v>
      </c>
      <c r="H78" s="18">
        <v>0.18</v>
      </c>
      <c r="I78" s="18">
        <v>0.65</v>
      </c>
      <c r="J78" s="17">
        <v>29453</v>
      </c>
      <c r="K78" s="17">
        <v>3446.0010000000002</v>
      </c>
      <c r="L78" s="17">
        <v>286.01808299999999</v>
      </c>
    </row>
    <row r="79" spans="1:12" x14ac:dyDescent="0.3">
      <c r="A79" s="9" t="s">
        <v>153</v>
      </c>
      <c r="B79" s="28">
        <v>475</v>
      </c>
      <c r="C79" s="13">
        <v>0.39697805674369202</v>
      </c>
      <c r="D79" s="11">
        <v>39511</v>
      </c>
      <c r="E79" s="9" t="s">
        <v>95</v>
      </c>
      <c r="F79" s="28">
        <v>0</v>
      </c>
      <c r="G79" s="14" t="s">
        <v>405</v>
      </c>
      <c r="H79" s="12">
        <v>0.18</v>
      </c>
      <c r="I79" s="12">
        <v>0.65</v>
      </c>
      <c r="J79" s="11">
        <v>15685</v>
      </c>
      <c r="K79" s="11">
        <v>1835.145</v>
      </c>
      <c r="L79" s="11">
        <v>152.317035</v>
      </c>
    </row>
    <row r="80" spans="1:12" ht="26.4" x14ac:dyDescent="0.3">
      <c r="A80" s="15" t="s">
        <v>154</v>
      </c>
      <c r="B80" s="29">
        <v>765</v>
      </c>
      <c r="C80" s="19">
        <v>0.11254253197231</v>
      </c>
      <c r="D80" s="17">
        <v>42615</v>
      </c>
      <c r="E80" s="15" t="s">
        <v>84</v>
      </c>
      <c r="F80" s="29">
        <v>60</v>
      </c>
      <c r="G80" s="39" t="s">
        <v>402</v>
      </c>
      <c r="H80" s="18">
        <v>0.08</v>
      </c>
      <c r="I80" s="18">
        <v>0.55000000000000004</v>
      </c>
      <c r="J80" s="17">
        <v>4796</v>
      </c>
      <c r="K80" s="17">
        <v>211.024</v>
      </c>
      <c r="L80" s="17">
        <v>17.514991999999999</v>
      </c>
    </row>
    <row r="81" spans="1:12" x14ac:dyDescent="0.3">
      <c r="A81" s="9" t="s">
        <v>155</v>
      </c>
      <c r="B81" s="28">
        <v>588</v>
      </c>
      <c r="C81" s="13">
        <v>0.20529402659053</v>
      </c>
      <c r="D81" s="11">
        <v>58141</v>
      </c>
      <c r="E81" s="9" t="s">
        <v>84</v>
      </c>
      <c r="F81" s="28">
        <v>10</v>
      </c>
      <c r="G81" s="14" t="s">
        <v>405</v>
      </c>
      <c r="H81" s="12">
        <v>0.18</v>
      </c>
      <c r="I81" s="12">
        <v>0.65</v>
      </c>
      <c r="J81" s="11">
        <v>11936</v>
      </c>
      <c r="K81" s="11">
        <v>1396.5119999999999</v>
      </c>
      <c r="L81" s="11">
        <v>115.91049599999999</v>
      </c>
    </row>
    <row r="82" spans="1:12" x14ac:dyDescent="0.3">
      <c r="A82" s="15" t="s">
        <v>156</v>
      </c>
      <c r="B82" s="29">
        <v>349</v>
      </c>
      <c r="C82" s="19">
        <v>0.664758694831043</v>
      </c>
      <c r="D82" s="17">
        <v>34417</v>
      </c>
      <c r="E82" s="15" t="s">
        <v>79</v>
      </c>
      <c r="F82" s="29">
        <v>-70</v>
      </c>
      <c r="G82" s="20" t="s">
        <v>405</v>
      </c>
      <c r="H82" s="18">
        <v>0.18</v>
      </c>
      <c r="I82" s="18">
        <v>0.65</v>
      </c>
      <c r="J82" s="17">
        <v>22879</v>
      </c>
      <c r="K82" s="17">
        <v>2676.8429999999998</v>
      </c>
      <c r="L82" s="17">
        <v>222.17796899999999</v>
      </c>
    </row>
    <row r="83" spans="1:12" x14ac:dyDescent="0.3">
      <c r="A83" s="9" t="s">
        <v>157</v>
      </c>
      <c r="B83" s="28">
        <v>303</v>
      </c>
      <c r="C83" s="13">
        <v>0.459101196249596</v>
      </c>
      <c r="D83" s="11">
        <v>49488</v>
      </c>
      <c r="E83" s="9" t="s">
        <v>95</v>
      </c>
      <c r="F83" s="28">
        <v>0</v>
      </c>
      <c r="G83" s="14" t="s">
        <v>405</v>
      </c>
      <c r="H83" s="12">
        <v>0.18</v>
      </c>
      <c r="I83" s="12">
        <v>0.65</v>
      </c>
      <c r="J83" s="11">
        <v>22720</v>
      </c>
      <c r="K83" s="11">
        <v>2658.24</v>
      </c>
      <c r="L83" s="11">
        <v>220.63391999999999</v>
      </c>
    </row>
    <row r="84" spans="1:12" ht="26.4" x14ac:dyDescent="0.3">
      <c r="A84" s="15" t="s">
        <v>158</v>
      </c>
      <c r="B84" s="29">
        <v>799</v>
      </c>
      <c r="C84" s="19">
        <v>0.33628082478942001</v>
      </c>
      <c r="D84" s="17">
        <v>52474</v>
      </c>
      <c r="E84" s="15" t="s">
        <v>84</v>
      </c>
      <c r="F84" s="29">
        <v>45</v>
      </c>
      <c r="G84" s="39" t="s">
        <v>402</v>
      </c>
      <c r="H84" s="18">
        <v>0.08</v>
      </c>
      <c r="I84" s="18">
        <v>0.55000000000000004</v>
      </c>
      <c r="J84" s="17">
        <v>17646</v>
      </c>
      <c r="K84" s="17">
        <v>776.42399999999998</v>
      </c>
      <c r="L84" s="17">
        <v>64.443191999999996</v>
      </c>
    </row>
    <row r="85" spans="1:12" x14ac:dyDescent="0.3">
      <c r="A85" s="9" t="s">
        <v>159</v>
      </c>
      <c r="B85" s="28">
        <v>522</v>
      </c>
      <c r="C85" s="13">
        <v>0.36594669698117999</v>
      </c>
      <c r="D85" s="11">
        <v>39585</v>
      </c>
      <c r="E85" s="9" t="s">
        <v>84</v>
      </c>
      <c r="F85" s="28">
        <v>-5</v>
      </c>
      <c r="G85" s="14" t="s">
        <v>405</v>
      </c>
      <c r="H85" s="12">
        <v>0.18</v>
      </c>
      <c r="I85" s="12">
        <v>0.65</v>
      </c>
      <c r="J85" s="11">
        <v>14486</v>
      </c>
      <c r="K85" s="11">
        <v>1694.8620000000001</v>
      </c>
      <c r="L85" s="11">
        <v>140.67354599999999</v>
      </c>
    </row>
    <row r="86" spans="1:12" x14ac:dyDescent="0.3">
      <c r="A86" s="15" t="s">
        <v>160</v>
      </c>
      <c r="B86" s="29">
        <v>561</v>
      </c>
      <c r="C86" s="19">
        <v>0.159818016378526</v>
      </c>
      <c r="D86" s="17">
        <v>54950</v>
      </c>
      <c r="E86" s="15" t="s">
        <v>95</v>
      </c>
      <c r="F86" s="29">
        <v>15</v>
      </c>
      <c r="G86" s="20" t="s">
        <v>405</v>
      </c>
      <c r="H86" s="18">
        <v>0.18</v>
      </c>
      <c r="I86" s="18">
        <v>0.65</v>
      </c>
      <c r="J86" s="17">
        <v>8782</v>
      </c>
      <c r="K86" s="17">
        <v>1027.4939999999999</v>
      </c>
      <c r="L86" s="17">
        <v>85.282002000000006</v>
      </c>
    </row>
    <row r="87" spans="1:12" x14ac:dyDescent="0.3">
      <c r="A87" s="9" t="s">
        <v>161</v>
      </c>
      <c r="B87" s="28">
        <v>834</v>
      </c>
      <c r="C87" s="13">
        <v>0.65777026058538601</v>
      </c>
      <c r="D87" s="11">
        <v>34883</v>
      </c>
      <c r="E87" s="9" t="s">
        <v>95</v>
      </c>
      <c r="F87" s="28">
        <v>20</v>
      </c>
      <c r="G87" s="14" t="s">
        <v>405</v>
      </c>
      <c r="H87" s="12">
        <v>0.18</v>
      </c>
      <c r="I87" s="12">
        <v>0.65</v>
      </c>
      <c r="J87" s="11">
        <v>22945</v>
      </c>
      <c r="K87" s="11">
        <v>2684.5650000000001</v>
      </c>
      <c r="L87" s="11">
        <v>222.818895</v>
      </c>
    </row>
    <row r="88" spans="1:12" x14ac:dyDescent="0.3">
      <c r="A88" s="15" t="s">
        <v>162</v>
      </c>
      <c r="B88" s="29">
        <v>675</v>
      </c>
      <c r="C88" s="19">
        <v>0.80324269041030005</v>
      </c>
      <c r="D88" s="17">
        <v>33244</v>
      </c>
      <c r="E88" s="15" t="s">
        <v>95</v>
      </c>
      <c r="F88" s="29">
        <v>5</v>
      </c>
      <c r="G88" s="20" t="s">
        <v>405</v>
      </c>
      <c r="H88" s="18">
        <v>0.18</v>
      </c>
      <c r="I88" s="18">
        <v>0.65</v>
      </c>
      <c r="J88" s="17">
        <v>26703</v>
      </c>
      <c r="K88" s="17">
        <v>3124.2510000000002</v>
      </c>
      <c r="L88" s="17">
        <v>259.31283300000001</v>
      </c>
    </row>
    <row r="89" spans="1:12" x14ac:dyDescent="0.3">
      <c r="A89" s="9" t="s">
        <v>163</v>
      </c>
      <c r="B89" s="28">
        <v>360</v>
      </c>
      <c r="C89" s="13">
        <v>0.58863168524488296</v>
      </c>
      <c r="D89" s="11">
        <v>51494</v>
      </c>
      <c r="E89" s="9" t="s">
        <v>79</v>
      </c>
      <c r="F89" s="28">
        <v>-40</v>
      </c>
      <c r="G89" s="14" t="s">
        <v>405</v>
      </c>
      <c r="H89" s="12">
        <v>0.18</v>
      </c>
      <c r="I89" s="12">
        <v>0.65</v>
      </c>
      <c r="J89" s="11">
        <v>30311</v>
      </c>
      <c r="K89" s="11">
        <v>3546.3870000000002</v>
      </c>
      <c r="L89" s="11">
        <v>294.350121</v>
      </c>
    </row>
    <row r="90" spans="1:12" x14ac:dyDescent="0.3">
      <c r="A90" s="15" t="s">
        <v>164</v>
      </c>
      <c r="B90" s="29">
        <v>655</v>
      </c>
      <c r="C90" s="19">
        <v>0.44275812619502902</v>
      </c>
      <c r="D90" s="17">
        <v>25104</v>
      </c>
      <c r="E90" s="15" t="s">
        <v>95</v>
      </c>
      <c r="F90" s="29">
        <v>20</v>
      </c>
      <c r="G90" s="20" t="s">
        <v>405</v>
      </c>
      <c r="H90" s="18">
        <v>0.18</v>
      </c>
      <c r="I90" s="18">
        <v>0.65</v>
      </c>
      <c r="J90" s="17">
        <v>11115</v>
      </c>
      <c r="K90" s="17">
        <v>1300.4549999999999</v>
      </c>
      <c r="L90" s="17">
        <v>107.937765</v>
      </c>
    </row>
    <row r="91" spans="1:12" x14ac:dyDescent="0.3">
      <c r="A91" s="9" t="s">
        <v>165</v>
      </c>
      <c r="B91" s="28">
        <v>323</v>
      </c>
      <c r="C91" s="13">
        <v>1.7345748261162199</v>
      </c>
      <c r="D91" s="11">
        <v>17828</v>
      </c>
      <c r="E91" s="9" t="s">
        <v>79</v>
      </c>
      <c r="F91" s="28">
        <v>-85</v>
      </c>
      <c r="G91" s="14" t="s">
        <v>405</v>
      </c>
      <c r="H91" s="12">
        <v>0.18</v>
      </c>
      <c r="I91" s="12">
        <v>0.65</v>
      </c>
      <c r="J91" s="11">
        <v>30924</v>
      </c>
      <c r="K91" s="11">
        <v>3618.1080000000002</v>
      </c>
      <c r="L91" s="11">
        <v>300.30296399999997</v>
      </c>
    </row>
    <row r="92" spans="1:12" x14ac:dyDescent="0.3">
      <c r="A92" s="15" t="s">
        <v>166</v>
      </c>
      <c r="B92" s="29">
        <v>592</v>
      </c>
      <c r="C92" s="19">
        <v>0.33706373292868003</v>
      </c>
      <c r="D92" s="17">
        <v>57992</v>
      </c>
      <c r="E92" s="15" t="s">
        <v>95</v>
      </c>
      <c r="F92" s="29">
        <v>0</v>
      </c>
      <c r="G92" s="20" t="s">
        <v>405</v>
      </c>
      <c r="H92" s="18">
        <v>0.18</v>
      </c>
      <c r="I92" s="18">
        <v>0.65</v>
      </c>
      <c r="J92" s="17">
        <v>19547</v>
      </c>
      <c r="K92" s="17">
        <v>2286.9989999999998</v>
      </c>
      <c r="L92" s="17">
        <v>189.82091700000001</v>
      </c>
    </row>
    <row r="93" spans="1:12" x14ac:dyDescent="0.3">
      <c r="A93" s="9" t="s">
        <v>167</v>
      </c>
      <c r="B93" s="28">
        <v>655</v>
      </c>
      <c r="C93" s="13">
        <v>0.30749220354453499</v>
      </c>
      <c r="D93" s="11">
        <v>65735</v>
      </c>
      <c r="E93" s="9" t="s">
        <v>79</v>
      </c>
      <c r="F93" s="28">
        <v>5</v>
      </c>
      <c r="G93" s="14" t="s">
        <v>405</v>
      </c>
      <c r="H93" s="12">
        <v>0.18</v>
      </c>
      <c r="I93" s="12">
        <v>0.65</v>
      </c>
      <c r="J93" s="11">
        <v>20213</v>
      </c>
      <c r="K93" s="11">
        <v>2364.9209999999998</v>
      </c>
      <c r="L93" s="11">
        <v>196.288443</v>
      </c>
    </row>
    <row r="94" spans="1:12" x14ac:dyDescent="0.3">
      <c r="A94" s="15" t="s">
        <v>168</v>
      </c>
      <c r="B94" s="29">
        <v>328</v>
      </c>
      <c r="C94" s="19">
        <v>0.63140146053304802</v>
      </c>
      <c r="D94" s="17">
        <v>42998</v>
      </c>
      <c r="E94" s="15" t="s">
        <v>95</v>
      </c>
      <c r="F94" s="29">
        <v>-30</v>
      </c>
      <c r="G94" s="20" t="s">
        <v>405</v>
      </c>
      <c r="H94" s="18">
        <v>0.18</v>
      </c>
      <c r="I94" s="18">
        <v>0.65</v>
      </c>
      <c r="J94" s="17">
        <v>27149</v>
      </c>
      <c r="K94" s="17">
        <v>3176.433</v>
      </c>
      <c r="L94" s="17">
        <v>263.64393899999999</v>
      </c>
    </row>
    <row r="95" spans="1:12" x14ac:dyDescent="0.3">
      <c r="A95" s="9" t="s">
        <v>169</v>
      </c>
      <c r="B95" s="28">
        <v>656</v>
      </c>
      <c r="C95" s="13">
        <v>0.39200580304659999</v>
      </c>
      <c r="D95" s="11">
        <v>39979</v>
      </c>
      <c r="E95" s="9" t="s">
        <v>79</v>
      </c>
      <c r="F95" s="28">
        <v>-5</v>
      </c>
      <c r="G95" s="14" t="s">
        <v>405</v>
      </c>
      <c r="H95" s="12">
        <v>0.18</v>
      </c>
      <c r="I95" s="12">
        <v>0.65</v>
      </c>
      <c r="J95" s="11">
        <v>15672</v>
      </c>
      <c r="K95" s="11">
        <v>1833.624</v>
      </c>
      <c r="L95" s="11">
        <v>152.19079199999999</v>
      </c>
    </row>
    <row r="96" spans="1:12" ht="26.4" x14ac:dyDescent="0.3">
      <c r="A96" s="15" t="s">
        <v>170</v>
      </c>
      <c r="B96" s="29">
        <v>664</v>
      </c>
      <c r="C96" s="19">
        <v>4.1331837807107898E-2</v>
      </c>
      <c r="D96" s="17">
        <v>65083</v>
      </c>
      <c r="E96" s="15" t="s">
        <v>84</v>
      </c>
      <c r="F96" s="29">
        <v>55</v>
      </c>
      <c r="G96" s="39" t="s">
        <v>402</v>
      </c>
      <c r="H96" s="18">
        <v>0.08</v>
      </c>
      <c r="I96" s="18">
        <v>0.55000000000000004</v>
      </c>
      <c r="J96" s="17">
        <v>2690</v>
      </c>
      <c r="K96" s="17">
        <v>118.36</v>
      </c>
      <c r="L96" s="17">
        <v>9.8238800000000008</v>
      </c>
    </row>
    <row r="97" spans="1:12" x14ac:dyDescent="0.3">
      <c r="A97" s="9" t="s">
        <v>171</v>
      </c>
      <c r="B97" s="28">
        <v>708</v>
      </c>
      <c r="C97" s="13">
        <v>0.78127190175823502</v>
      </c>
      <c r="D97" s="11">
        <v>32817</v>
      </c>
      <c r="E97" s="9" t="s">
        <v>79</v>
      </c>
      <c r="F97" s="28">
        <v>-35</v>
      </c>
      <c r="G97" s="14" t="s">
        <v>405</v>
      </c>
      <c r="H97" s="12">
        <v>0.18</v>
      </c>
      <c r="I97" s="12">
        <v>0.65</v>
      </c>
      <c r="J97" s="11">
        <v>25639</v>
      </c>
      <c r="K97" s="11">
        <v>2999.7629999999999</v>
      </c>
      <c r="L97" s="11">
        <v>248.98032900000001</v>
      </c>
    </row>
    <row r="98" spans="1:12" x14ac:dyDescent="0.3">
      <c r="A98" s="15" t="s">
        <v>172</v>
      </c>
      <c r="B98" s="29">
        <v>565</v>
      </c>
      <c r="C98" s="19">
        <v>0.77122745270567505</v>
      </c>
      <c r="D98" s="17">
        <v>29549</v>
      </c>
      <c r="E98" s="15" t="s">
        <v>79</v>
      </c>
      <c r="F98" s="29">
        <v>-85</v>
      </c>
      <c r="G98" s="20" t="s">
        <v>405</v>
      </c>
      <c r="H98" s="18">
        <v>0.18</v>
      </c>
      <c r="I98" s="18">
        <v>0.65</v>
      </c>
      <c r="J98" s="17">
        <v>22789</v>
      </c>
      <c r="K98" s="17">
        <v>2666.3130000000001</v>
      </c>
      <c r="L98" s="17">
        <v>221.303979</v>
      </c>
    </row>
    <row r="99" spans="1:12" x14ac:dyDescent="0.3">
      <c r="A99" s="9" t="s">
        <v>173</v>
      </c>
      <c r="B99" s="28">
        <v>590</v>
      </c>
      <c r="C99" s="13">
        <v>0.282405345211581</v>
      </c>
      <c r="D99" s="11">
        <v>60615</v>
      </c>
      <c r="E99" s="9" t="s">
        <v>84</v>
      </c>
      <c r="F99" s="28">
        <v>20</v>
      </c>
      <c r="G99" s="14" t="s">
        <v>405</v>
      </c>
      <c r="H99" s="12">
        <v>0.18</v>
      </c>
      <c r="I99" s="12">
        <v>0.65</v>
      </c>
      <c r="J99" s="11">
        <v>17118</v>
      </c>
      <c r="K99" s="11">
        <v>2002.806</v>
      </c>
      <c r="L99" s="11">
        <v>166.23289800000001</v>
      </c>
    </row>
    <row r="100" spans="1:12" x14ac:dyDescent="0.3">
      <c r="A100" s="15" t="s">
        <v>174</v>
      </c>
      <c r="B100" s="29">
        <v>452</v>
      </c>
      <c r="C100" s="19">
        <v>0.49824477421413799</v>
      </c>
      <c r="D100" s="17">
        <v>50136</v>
      </c>
      <c r="E100" s="15" t="s">
        <v>95</v>
      </c>
      <c r="F100" s="29">
        <v>0</v>
      </c>
      <c r="G100" s="20" t="s">
        <v>405</v>
      </c>
      <c r="H100" s="18">
        <v>0.18</v>
      </c>
      <c r="I100" s="18">
        <v>0.65</v>
      </c>
      <c r="J100" s="17">
        <v>24980</v>
      </c>
      <c r="K100" s="17">
        <v>2922.66</v>
      </c>
      <c r="L100" s="17">
        <v>242.58078</v>
      </c>
    </row>
    <row r="101" spans="1:12" x14ac:dyDescent="0.3">
      <c r="A101" s="9" t="s">
        <v>175</v>
      </c>
      <c r="B101" s="28">
        <v>518</v>
      </c>
      <c r="C101" s="13">
        <v>0.40343776999681702</v>
      </c>
      <c r="D101" s="11">
        <v>65973</v>
      </c>
      <c r="E101" s="9" t="s">
        <v>84</v>
      </c>
      <c r="F101" s="28">
        <v>5</v>
      </c>
      <c r="G101" s="14" t="s">
        <v>405</v>
      </c>
      <c r="H101" s="12">
        <v>0.18</v>
      </c>
      <c r="I101" s="12">
        <v>0.65</v>
      </c>
      <c r="J101" s="11">
        <v>26616</v>
      </c>
      <c r="K101" s="11">
        <v>3114.0720000000001</v>
      </c>
      <c r="L101" s="11">
        <v>258.46797600000002</v>
      </c>
    </row>
    <row r="102" spans="1:12" x14ac:dyDescent="0.3">
      <c r="A102" s="15" t="s">
        <v>176</v>
      </c>
      <c r="B102" s="29">
        <v>472</v>
      </c>
      <c r="C102" s="19">
        <v>0.44166294143942803</v>
      </c>
      <c r="D102" s="17">
        <v>17896</v>
      </c>
      <c r="E102" s="15" t="s">
        <v>84</v>
      </c>
      <c r="F102" s="29">
        <v>-20</v>
      </c>
      <c r="G102" s="20" t="s">
        <v>405</v>
      </c>
      <c r="H102" s="18">
        <v>0.18</v>
      </c>
      <c r="I102" s="18">
        <v>0.65</v>
      </c>
      <c r="J102" s="17">
        <v>7904</v>
      </c>
      <c r="K102" s="17">
        <v>924.76800000000003</v>
      </c>
      <c r="L102" s="17">
        <v>76.755744000000007</v>
      </c>
    </row>
    <row r="103" spans="1:12" x14ac:dyDescent="0.3">
      <c r="A103" s="9" t="s">
        <v>177</v>
      </c>
      <c r="B103" s="28">
        <v>311</v>
      </c>
      <c r="C103" s="13">
        <v>0.69610210417385299</v>
      </c>
      <c r="D103" s="11">
        <v>28990</v>
      </c>
      <c r="E103" s="9" t="s">
        <v>84</v>
      </c>
      <c r="F103" s="28">
        <v>-50</v>
      </c>
      <c r="G103" s="14" t="s">
        <v>405</v>
      </c>
      <c r="H103" s="12">
        <v>0.18</v>
      </c>
      <c r="I103" s="12">
        <v>0.65</v>
      </c>
      <c r="J103" s="11">
        <v>20180</v>
      </c>
      <c r="K103" s="11">
        <v>2361.06</v>
      </c>
      <c r="L103" s="11">
        <v>195.96798000000001</v>
      </c>
    </row>
    <row r="104" spans="1:12" x14ac:dyDescent="0.3">
      <c r="A104" s="15" t="s">
        <v>178</v>
      </c>
      <c r="B104" s="29">
        <v>815</v>
      </c>
      <c r="C104" s="19">
        <v>3.5427661057453E-2</v>
      </c>
      <c r="D104" s="17">
        <v>50215</v>
      </c>
      <c r="E104" s="15" t="s">
        <v>79</v>
      </c>
      <c r="F104" s="29">
        <v>25</v>
      </c>
      <c r="G104" s="20" t="s">
        <v>405</v>
      </c>
      <c r="H104" s="18">
        <v>0.18</v>
      </c>
      <c r="I104" s="18">
        <v>0.65</v>
      </c>
      <c r="J104" s="17">
        <v>1779</v>
      </c>
      <c r="K104" s="17">
        <v>208.143</v>
      </c>
      <c r="L104" s="17">
        <v>17.275869</v>
      </c>
    </row>
    <row r="105" spans="1:12" x14ac:dyDescent="0.3">
      <c r="A105" s="9" t="s">
        <v>179</v>
      </c>
      <c r="B105" s="28">
        <v>661</v>
      </c>
      <c r="C105" s="13">
        <v>0.33786545810006202</v>
      </c>
      <c r="D105" s="11">
        <v>56265</v>
      </c>
      <c r="E105" s="9" t="s">
        <v>84</v>
      </c>
      <c r="F105" s="28">
        <v>30</v>
      </c>
      <c r="G105" s="14" t="s">
        <v>405</v>
      </c>
      <c r="H105" s="12">
        <v>0.18</v>
      </c>
      <c r="I105" s="12">
        <v>0.65</v>
      </c>
      <c r="J105" s="11">
        <v>19010</v>
      </c>
      <c r="K105" s="11">
        <v>2224.17</v>
      </c>
      <c r="L105" s="11">
        <v>184.60611</v>
      </c>
    </row>
    <row r="106" spans="1:12" x14ac:dyDescent="0.3">
      <c r="A106" s="15" t="s">
        <v>180</v>
      </c>
      <c r="B106" s="29">
        <v>776</v>
      </c>
      <c r="C106" s="19">
        <v>0.271397815166255</v>
      </c>
      <c r="D106" s="17">
        <v>62705</v>
      </c>
      <c r="E106" s="15" t="s">
        <v>95</v>
      </c>
      <c r="F106" s="29">
        <v>75</v>
      </c>
      <c r="G106" s="7" t="s">
        <v>399</v>
      </c>
      <c r="H106" s="18">
        <v>0.02</v>
      </c>
      <c r="I106" s="18">
        <v>0.4</v>
      </c>
      <c r="J106" s="17">
        <v>17018</v>
      </c>
      <c r="K106" s="17">
        <v>136.14400000000001</v>
      </c>
      <c r="L106" s="17">
        <v>11.299951999999999</v>
      </c>
    </row>
    <row r="107" spans="1:12" x14ac:dyDescent="0.3">
      <c r="A107" s="9" t="s">
        <v>181</v>
      </c>
      <c r="B107" s="28">
        <v>381</v>
      </c>
      <c r="C107" s="13">
        <v>0.45484778229637801</v>
      </c>
      <c r="D107" s="11">
        <v>52622</v>
      </c>
      <c r="E107" s="9" t="s">
        <v>79</v>
      </c>
      <c r="F107" s="28">
        <v>-40</v>
      </c>
      <c r="G107" s="14" t="s">
        <v>405</v>
      </c>
      <c r="H107" s="12">
        <v>0.18</v>
      </c>
      <c r="I107" s="12">
        <v>0.65</v>
      </c>
      <c r="J107" s="11">
        <v>23935</v>
      </c>
      <c r="K107" s="11">
        <v>2800.395</v>
      </c>
      <c r="L107" s="11">
        <v>232.432785</v>
      </c>
    </row>
    <row r="108" spans="1:12" x14ac:dyDescent="0.3">
      <c r="A108" s="15" t="s">
        <v>182</v>
      </c>
      <c r="B108" s="29">
        <v>639</v>
      </c>
      <c r="C108" s="19">
        <v>0.21757194587383299</v>
      </c>
      <c r="D108" s="17">
        <v>52470</v>
      </c>
      <c r="E108" s="15" t="s">
        <v>79</v>
      </c>
      <c r="F108" s="29">
        <v>10</v>
      </c>
      <c r="G108" s="20" t="s">
        <v>405</v>
      </c>
      <c r="H108" s="18">
        <v>0.18</v>
      </c>
      <c r="I108" s="18">
        <v>0.65</v>
      </c>
      <c r="J108" s="17">
        <v>11416</v>
      </c>
      <c r="K108" s="17">
        <v>1335.672</v>
      </c>
      <c r="L108" s="17">
        <v>110.860776</v>
      </c>
    </row>
    <row r="109" spans="1:12" x14ac:dyDescent="0.3">
      <c r="A109" s="9" t="s">
        <v>183</v>
      </c>
      <c r="B109" s="28">
        <v>740</v>
      </c>
      <c r="C109" s="13">
        <v>0.37654838198328799</v>
      </c>
      <c r="D109" s="11">
        <v>44159</v>
      </c>
      <c r="E109" s="9" t="s">
        <v>84</v>
      </c>
      <c r="F109" s="28">
        <v>30</v>
      </c>
      <c r="G109" s="14" t="s">
        <v>405</v>
      </c>
      <c r="H109" s="12">
        <v>0.18</v>
      </c>
      <c r="I109" s="12">
        <v>0.65</v>
      </c>
      <c r="J109" s="11">
        <v>16628</v>
      </c>
      <c r="K109" s="11">
        <v>1945.4760000000001</v>
      </c>
      <c r="L109" s="11">
        <v>161.47450799999999</v>
      </c>
    </row>
    <row r="110" spans="1:12" x14ac:dyDescent="0.3">
      <c r="A110" s="15" t="s">
        <v>184</v>
      </c>
      <c r="B110" s="29">
        <v>525</v>
      </c>
      <c r="C110" s="19">
        <v>-7.7547925917903202E-2</v>
      </c>
      <c r="D110" s="17">
        <v>73864</v>
      </c>
      <c r="E110" s="15" t="s">
        <v>79</v>
      </c>
      <c r="F110" s="29">
        <v>-15</v>
      </c>
      <c r="G110" s="20" t="s">
        <v>405</v>
      </c>
      <c r="H110" s="18">
        <v>0.18</v>
      </c>
      <c r="I110" s="18">
        <v>0.65</v>
      </c>
      <c r="J110" s="17">
        <v>-5728</v>
      </c>
      <c r="K110" s="17">
        <v>-670.17600000000004</v>
      </c>
      <c r="L110" s="17">
        <v>-55.624608000000002</v>
      </c>
    </row>
    <row r="111" spans="1:12" x14ac:dyDescent="0.3">
      <c r="A111" s="9" t="s">
        <v>185</v>
      </c>
      <c r="B111" s="28">
        <v>670</v>
      </c>
      <c r="C111" s="13">
        <v>0.73113137049768395</v>
      </c>
      <c r="D111" s="11">
        <v>33455</v>
      </c>
      <c r="E111" s="9" t="s">
        <v>95</v>
      </c>
      <c r="F111" s="28">
        <v>5</v>
      </c>
      <c r="G111" s="14" t="s">
        <v>405</v>
      </c>
      <c r="H111" s="12">
        <v>0.18</v>
      </c>
      <c r="I111" s="12">
        <v>0.65</v>
      </c>
      <c r="J111" s="11">
        <v>24460</v>
      </c>
      <c r="K111" s="11">
        <v>2861.82</v>
      </c>
      <c r="L111" s="11">
        <v>237.53106</v>
      </c>
    </row>
    <row r="112" spans="1:12" x14ac:dyDescent="0.3">
      <c r="A112" s="15" t="s">
        <v>186</v>
      </c>
      <c r="B112" s="29">
        <v>327</v>
      </c>
      <c r="C112" s="19">
        <v>0.34834341428184501</v>
      </c>
      <c r="D112" s="17">
        <v>55385</v>
      </c>
      <c r="E112" s="15" t="s">
        <v>79</v>
      </c>
      <c r="F112" s="29">
        <v>-40</v>
      </c>
      <c r="G112" s="20" t="s">
        <v>405</v>
      </c>
      <c r="H112" s="18">
        <v>0.18</v>
      </c>
      <c r="I112" s="18">
        <v>0.65</v>
      </c>
      <c r="J112" s="17">
        <v>19293</v>
      </c>
      <c r="K112" s="17">
        <v>2257.2809999999999</v>
      </c>
      <c r="L112" s="17">
        <v>187.35432299999999</v>
      </c>
    </row>
    <row r="113" spans="1:12" x14ac:dyDescent="0.3">
      <c r="A113" s="9" t="s">
        <v>187</v>
      </c>
      <c r="B113" s="28">
        <v>315</v>
      </c>
      <c r="C113" s="13">
        <v>0.588295483614246</v>
      </c>
      <c r="D113" s="11">
        <v>35183</v>
      </c>
      <c r="E113" s="9" t="s">
        <v>84</v>
      </c>
      <c r="F113" s="28">
        <v>-5</v>
      </c>
      <c r="G113" s="14" t="s">
        <v>405</v>
      </c>
      <c r="H113" s="12">
        <v>0.18</v>
      </c>
      <c r="I113" s="12">
        <v>0.65</v>
      </c>
      <c r="J113" s="11">
        <v>20698</v>
      </c>
      <c r="K113" s="11">
        <v>2421.6660000000002</v>
      </c>
      <c r="L113" s="11">
        <v>200.998278</v>
      </c>
    </row>
    <row r="114" spans="1:12" x14ac:dyDescent="0.3">
      <c r="A114" s="15" t="s">
        <v>188</v>
      </c>
      <c r="B114" s="29">
        <v>576</v>
      </c>
      <c r="C114" s="19">
        <v>0.13879218227568901</v>
      </c>
      <c r="D114" s="17">
        <v>58022</v>
      </c>
      <c r="E114" s="15" t="s">
        <v>84</v>
      </c>
      <c r="F114" s="29">
        <v>10</v>
      </c>
      <c r="G114" s="20" t="s">
        <v>405</v>
      </c>
      <c r="H114" s="18">
        <v>0.18</v>
      </c>
      <c r="I114" s="18">
        <v>0.65</v>
      </c>
      <c r="J114" s="17">
        <v>8053</v>
      </c>
      <c r="K114" s="17">
        <v>942.20100000000002</v>
      </c>
      <c r="L114" s="17">
        <v>78.202682999999993</v>
      </c>
    </row>
    <row r="115" spans="1:12" x14ac:dyDescent="0.3">
      <c r="A115" s="9" t="s">
        <v>189</v>
      </c>
      <c r="B115" s="28">
        <v>632</v>
      </c>
      <c r="C115" s="13">
        <v>0.67307301495137195</v>
      </c>
      <c r="D115" s="11">
        <v>34445</v>
      </c>
      <c r="E115" s="9" t="s">
        <v>84</v>
      </c>
      <c r="F115" s="28">
        <v>0</v>
      </c>
      <c r="G115" s="14" t="s">
        <v>405</v>
      </c>
      <c r="H115" s="12">
        <v>0.18</v>
      </c>
      <c r="I115" s="12">
        <v>0.65</v>
      </c>
      <c r="J115" s="11">
        <v>23184</v>
      </c>
      <c r="K115" s="11">
        <v>2712.5279999999998</v>
      </c>
      <c r="L115" s="11">
        <v>225.139824</v>
      </c>
    </row>
    <row r="116" spans="1:12" x14ac:dyDescent="0.3">
      <c r="A116" s="15" t="s">
        <v>190</v>
      </c>
      <c r="B116" s="29">
        <v>782</v>
      </c>
      <c r="C116" s="19">
        <v>0.54322481482087104</v>
      </c>
      <c r="D116" s="17">
        <v>61157</v>
      </c>
      <c r="E116" s="15" t="s">
        <v>79</v>
      </c>
      <c r="F116" s="29">
        <v>20</v>
      </c>
      <c r="G116" s="20" t="s">
        <v>405</v>
      </c>
      <c r="H116" s="18">
        <v>0.18</v>
      </c>
      <c r="I116" s="18">
        <v>0.65</v>
      </c>
      <c r="J116" s="17">
        <v>33222</v>
      </c>
      <c r="K116" s="17">
        <v>3886.9740000000002</v>
      </c>
      <c r="L116" s="17">
        <v>322.61884199999997</v>
      </c>
    </row>
    <row r="117" spans="1:12" x14ac:dyDescent="0.3">
      <c r="A117" s="9" t="s">
        <v>191</v>
      </c>
      <c r="B117" s="28">
        <v>587</v>
      </c>
      <c r="C117" s="13">
        <v>0.35836461437250899</v>
      </c>
      <c r="D117" s="11">
        <v>51682</v>
      </c>
      <c r="E117" s="9" t="s">
        <v>84</v>
      </c>
      <c r="F117" s="28">
        <v>-5</v>
      </c>
      <c r="G117" s="14" t="s">
        <v>405</v>
      </c>
      <c r="H117" s="12">
        <v>0.18</v>
      </c>
      <c r="I117" s="12">
        <v>0.65</v>
      </c>
      <c r="J117" s="11">
        <v>18521</v>
      </c>
      <c r="K117" s="11">
        <v>2166.9569999999999</v>
      </c>
      <c r="L117" s="11">
        <v>179.85743099999999</v>
      </c>
    </row>
    <row r="118" spans="1:12" x14ac:dyDescent="0.3">
      <c r="A118" s="15" t="s">
        <v>192</v>
      </c>
      <c r="B118" s="29">
        <v>413</v>
      </c>
      <c r="C118" s="19">
        <v>0.330852041486149</v>
      </c>
      <c r="D118" s="17">
        <v>76170</v>
      </c>
      <c r="E118" s="15" t="s">
        <v>79</v>
      </c>
      <c r="F118" s="29">
        <v>-30</v>
      </c>
      <c r="G118" s="20" t="s">
        <v>405</v>
      </c>
      <c r="H118" s="18">
        <v>0.18</v>
      </c>
      <c r="I118" s="18">
        <v>0.65</v>
      </c>
      <c r="J118" s="17">
        <v>25201</v>
      </c>
      <c r="K118" s="17">
        <v>2948.5169999999998</v>
      </c>
      <c r="L118" s="17">
        <v>244.726911</v>
      </c>
    </row>
    <row r="119" spans="1:12" x14ac:dyDescent="0.3">
      <c r="A119" s="9" t="s">
        <v>193</v>
      </c>
      <c r="B119" s="28">
        <v>337</v>
      </c>
      <c r="C119" s="13">
        <v>0.28470022933275102</v>
      </c>
      <c r="D119" s="11">
        <v>45785</v>
      </c>
      <c r="E119" s="9" t="s">
        <v>84</v>
      </c>
      <c r="F119" s="28">
        <v>10</v>
      </c>
      <c r="G119" s="14" t="s">
        <v>405</v>
      </c>
      <c r="H119" s="12">
        <v>0.18</v>
      </c>
      <c r="I119" s="12">
        <v>0.65</v>
      </c>
      <c r="J119" s="11">
        <v>13035</v>
      </c>
      <c r="K119" s="11">
        <v>1525.095</v>
      </c>
      <c r="L119" s="11">
        <v>126.582885</v>
      </c>
    </row>
    <row r="120" spans="1:12" ht="26.4" x14ac:dyDescent="0.3">
      <c r="A120" s="15" t="s">
        <v>194</v>
      </c>
      <c r="B120" s="29">
        <v>753</v>
      </c>
      <c r="C120" s="19">
        <v>0.34386419271295299</v>
      </c>
      <c r="D120" s="17">
        <v>56374</v>
      </c>
      <c r="E120" s="15" t="s">
        <v>84</v>
      </c>
      <c r="F120" s="29">
        <v>45</v>
      </c>
      <c r="G120" s="39" t="s">
        <v>402</v>
      </c>
      <c r="H120" s="18">
        <v>0.08</v>
      </c>
      <c r="I120" s="18">
        <v>0.55000000000000004</v>
      </c>
      <c r="J120" s="17">
        <v>19385</v>
      </c>
      <c r="K120" s="17">
        <v>852.94</v>
      </c>
      <c r="L120" s="17">
        <v>70.794020000000003</v>
      </c>
    </row>
    <row r="121" spans="1:12" x14ac:dyDescent="0.3">
      <c r="A121" s="9" t="s">
        <v>195</v>
      </c>
      <c r="B121" s="28">
        <v>465</v>
      </c>
      <c r="C121" s="13">
        <v>0.20229735021537701</v>
      </c>
      <c r="D121" s="11">
        <v>38305</v>
      </c>
      <c r="E121" s="9" t="s">
        <v>84</v>
      </c>
      <c r="F121" s="28">
        <v>10</v>
      </c>
      <c r="G121" s="14" t="s">
        <v>405</v>
      </c>
      <c r="H121" s="12">
        <v>0.18</v>
      </c>
      <c r="I121" s="12">
        <v>0.65</v>
      </c>
      <c r="J121" s="11">
        <v>7749</v>
      </c>
      <c r="K121" s="11">
        <v>906.63300000000004</v>
      </c>
      <c r="L121" s="11">
        <v>75.250539000000003</v>
      </c>
    </row>
    <row r="122" spans="1:12" x14ac:dyDescent="0.3">
      <c r="A122" s="15" t="s">
        <v>196</v>
      </c>
      <c r="B122" s="29">
        <v>504</v>
      </c>
      <c r="C122" s="19">
        <v>0.57582855391620302</v>
      </c>
      <c r="D122" s="17">
        <v>45682</v>
      </c>
      <c r="E122" s="15" t="s">
        <v>95</v>
      </c>
      <c r="F122" s="29">
        <v>0</v>
      </c>
      <c r="G122" s="20" t="s">
        <v>405</v>
      </c>
      <c r="H122" s="18">
        <v>0.18</v>
      </c>
      <c r="I122" s="18">
        <v>0.65</v>
      </c>
      <c r="J122" s="17">
        <v>26305</v>
      </c>
      <c r="K122" s="17">
        <v>3077.6849999999999</v>
      </c>
      <c r="L122" s="17">
        <v>255.447855</v>
      </c>
    </row>
    <row r="123" spans="1:12" x14ac:dyDescent="0.3">
      <c r="A123" s="9" t="s">
        <v>197</v>
      </c>
      <c r="B123" s="28">
        <v>544</v>
      </c>
      <c r="C123" s="13">
        <v>0.412495638351491</v>
      </c>
      <c r="D123" s="11">
        <v>51586</v>
      </c>
      <c r="E123" s="9" t="s">
        <v>95</v>
      </c>
      <c r="F123" s="28">
        <v>0</v>
      </c>
      <c r="G123" s="14" t="s">
        <v>405</v>
      </c>
      <c r="H123" s="12">
        <v>0.18</v>
      </c>
      <c r="I123" s="12">
        <v>0.65</v>
      </c>
      <c r="J123" s="11">
        <v>21279</v>
      </c>
      <c r="K123" s="11">
        <v>2489.643</v>
      </c>
      <c r="L123" s="11">
        <v>206.64036899999999</v>
      </c>
    </row>
    <row r="124" spans="1:12" x14ac:dyDescent="0.3">
      <c r="A124" s="15" t="s">
        <v>198</v>
      </c>
      <c r="B124" s="29">
        <v>632</v>
      </c>
      <c r="C124" s="19">
        <v>0.378192824450022</v>
      </c>
      <c r="D124" s="17">
        <v>27092</v>
      </c>
      <c r="E124" s="15" t="s">
        <v>84</v>
      </c>
      <c r="F124" s="29">
        <v>15</v>
      </c>
      <c r="G124" s="20" t="s">
        <v>405</v>
      </c>
      <c r="H124" s="18">
        <v>0.18</v>
      </c>
      <c r="I124" s="18">
        <v>0.65</v>
      </c>
      <c r="J124" s="17">
        <v>10246</v>
      </c>
      <c r="K124" s="17">
        <v>1198.7819999999999</v>
      </c>
      <c r="L124" s="17">
        <v>99.498906000000005</v>
      </c>
    </row>
    <row r="125" spans="1:12" x14ac:dyDescent="0.3">
      <c r="A125" s="9" t="s">
        <v>199</v>
      </c>
      <c r="B125" s="28">
        <v>695</v>
      </c>
      <c r="C125" s="13">
        <v>0.472751948775056</v>
      </c>
      <c r="D125" s="11">
        <v>28736</v>
      </c>
      <c r="E125" s="9" t="s">
        <v>84</v>
      </c>
      <c r="F125" s="28">
        <v>15</v>
      </c>
      <c r="G125" s="14" t="s">
        <v>405</v>
      </c>
      <c r="H125" s="12">
        <v>0.18</v>
      </c>
      <c r="I125" s="12">
        <v>0.65</v>
      </c>
      <c r="J125" s="11">
        <v>13585</v>
      </c>
      <c r="K125" s="11">
        <v>1589.4449999999999</v>
      </c>
      <c r="L125" s="11">
        <v>131.923935</v>
      </c>
    </row>
    <row r="126" spans="1:12" x14ac:dyDescent="0.3">
      <c r="A126" s="15" t="s">
        <v>200</v>
      </c>
      <c r="B126" s="29">
        <v>579</v>
      </c>
      <c r="C126" s="19">
        <v>0.34728295874436399</v>
      </c>
      <c r="D126" s="17">
        <v>58998</v>
      </c>
      <c r="E126" s="15" t="s">
        <v>79</v>
      </c>
      <c r="F126" s="29">
        <v>-40</v>
      </c>
      <c r="G126" s="20" t="s">
        <v>405</v>
      </c>
      <c r="H126" s="18">
        <v>0.18</v>
      </c>
      <c r="I126" s="18">
        <v>0.65</v>
      </c>
      <c r="J126" s="17">
        <v>20489</v>
      </c>
      <c r="K126" s="17">
        <v>2397.2130000000002</v>
      </c>
      <c r="L126" s="17">
        <v>198.96867900000001</v>
      </c>
    </row>
    <row r="127" spans="1:12" x14ac:dyDescent="0.3">
      <c r="A127" s="9" t="s">
        <v>201</v>
      </c>
      <c r="B127" s="28">
        <v>420</v>
      </c>
      <c r="C127" s="13">
        <v>0.57292559978246804</v>
      </c>
      <c r="D127" s="11">
        <v>47809</v>
      </c>
      <c r="E127" s="9" t="s">
        <v>79</v>
      </c>
      <c r="F127" s="28">
        <v>-40</v>
      </c>
      <c r="G127" s="14" t="s">
        <v>405</v>
      </c>
      <c r="H127" s="12">
        <v>0.18</v>
      </c>
      <c r="I127" s="12">
        <v>0.65</v>
      </c>
      <c r="J127" s="11">
        <v>27391</v>
      </c>
      <c r="K127" s="11">
        <v>3204.7469999999998</v>
      </c>
      <c r="L127" s="11">
        <v>265.99400100000003</v>
      </c>
    </row>
    <row r="128" spans="1:12" x14ac:dyDescent="0.3">
      <c r="A128" s="15" t="s">
        <v>202</v>
      </c>
      <c r="B128" s="29">
        <v>558</v>
      </c>
      <c r="C128" s="19">
        <v>0.77448547657276301</v>
      </c>
      <c r="D128" s="17">
        <v>41106</v>
      </c>
      <c r="E128" s="15" t="s">
        <v>95</v>
      </c>
      <c r="F128" s="29">
        <v>-30</v>
      </c>
      <c r="G128" s="20" t="s">
        <v>405</v>
      </c>
      <c r="H128" s="18">
        <v>0.18</v>
      </c>
      <c r="I128" s="18">
        <v>0.65</v>
      </c>
      <c r="J128" s="17">
        <v>31836</v>
      </c>
      <c r="K128" s="17">
        <v>3724.8119999999999</v>
      </c>
      <c r="L128" s="17">
        <v>309.15939600000002</v>
      </c>
    </row>
    <row r="129" spans="1:12" x14ac:dyDescent="0.3">
      <c r="A129" s="9" t="s">
        <v>203</v>
      </c>
      <c r="B129" s="28">
        <v>709</v>
      </c>
      <c r="C129" s="13">
        <v>0.48599306714597501</v>
      </c>
      <c r="D129" s="11">
        <v>38945</v>
      </c>
      <c r="E129" s="9" t="s">
        <v>79</v>
      </c>
      <c r="F129" s="28">
        <v>-5</v>
      </c>
      <c r="G129" s="14" t="s">
        <v>405</v>
      </c>
      <c r="H129" s="12">
        <v>0.18</v>
      </c>
      <c r="I129" s="12">
        <v>0.65</v>
      </c>
      <c r="J129" s="11">
        <v>18927</v>
      </c>
      <c r="K129" s="11">
        <v>2214.4589999999998</v>
      </c>
      <c r="L129" s="11">
        <v>183.80009699999999</v>
      </c>
    </row>
    <row r="130" spans="1:12" x14ac:dyDescent="0.3">
      <c r="A130" s="15" t="s">
        <v>204</v>
      </c>
      <c r="B130" s="29">
        <v>609</v>
      </c>
      <c r="C130" s="19">
        <v>0.22981555043898499</v>
      </c>
      <c r="D130" s="17">
        <v>39523</v>
      </c>
      <c r="E130" s="15" t="s">
        <v>79</v>
      </c>
      <c r="F130" s="29">
        <v>10</v>
      </c>
      <c r="G130" s="20" t="s">
        <v>405</v>
      </c>
      <c r="H130" s="18">
        <v>0.18</v>
      </c>
      <c r="I130" s="18">
        <v>0.65</v>
      </c>
      <c r="J130" s="17">
        <v>9083</v>
      </c>
      <c r="K130" s="17">
        <v>1062.711</v>
      </c>
      <c r="L130" s="17">
        <v>88.205012999999994</v>
      </c>
    </row>
    <row r="131" spans="1:12" x14ac:dyDescent="0.3">
      <c r="A131" s="9" t="s">
        <v>205</v>
      </c>
      <c r="B131" s="28">
        <v>367</v>
      </c>
      <c r="C131" s="13">
        <v>0.42385079709023399</v>
      </c>
      <c r="D131" s="11">
        <v>51688</v>
      </c>
      <c r="E131" s="9" t="s">
        <v>79</v>
      </c>
      <c r="F131" s="28">
        <v>-40</v>
      </c>
      <c r="G131" s="14" t="s">
        <v>405</v>
      </c>
      <c r="H131" s="12">
        <v>0.18</v>
      </c>
      <c r="I131" s="12">
        <v>0.65</v>
      </c>
      <c r="J131" s="11">
        <v>21908</v>
      </c>
      <c r="K131" s="11">
        <v>2563.2359999999999</v>
      </c>
      <c r="L131" s="11">
        <v>212.74858800000001</v>
      </c>
    </row>
    <row r="132" spans="1:12" x14ac:dyDescent="0.3">
      <c r="A132" s="15" t="s">
        <v>206</v>
      </c>
      <c r="B132" s="29">
        <v>413</v>
      </c>
      <c r="C132" s="19">
        <v>0.60482391135577696</v>
      </c>
      <c r="D132" s="17">
        <v>56676</v>
      </c>
      <c r="E132" s="15" t="s">
        <v>79</v>
      </c>
      <c r="F132" s="29">
        <v>-70</v>
      </c>
      <c r="G132" s="20" t="s">
        <v>405</v>
      </c>
      <c r="H132" s="18">
        <v>0.18</v>
      </c>
      <c r="I132" s="18">
        <v>0.65</v>
      </c>
      <c r="J132" s="17">
        <v>34279</v>
      </c>
      <c r="K132" s="17">
        <v>4010.643</v>
      </c>
      <c r="L132" s="17">
        <v>332.88336900000002</v>
      </c>
    </row>
    <row r="133" spans="1:12" x14ac:dyDescent="0.3">
      <c r="A133" s="9" t="s">
        <v>207</v>
      </c>
      <c r="B133" s="28">
        <v>519</v>
      </c>
      <c r="C133" s="13">
        <v>0.37694704049844202</v>
      </c>
      <c r="D133" s="11">
        <v>18618</v>
      </c>
      <c r="E133" s="9" t="s">
        <v>95</v>
      </c>
      <c r="F133" s="28">
        <v>-15</v>
      </c>
      <c r="G133" s="14" t="s">
        <v>405</v>
      </c>
      <c r="H133" s="12">
        <v>0.18</v>
      </c>
      <c r="I133" s="12">
        <v>0.65</v>
      </c>
      <c r="J133" s="11">
        <v>7018</v>
      </c>
      <c r="K133" s="11">
        <v>821.10599999999999</v>
      </c>
      <c r="L133" s="11">
        <v>68.151797999999999</v>
      </c>
    </row>
    <row r="134" spans="1:12" x14ac:dyDescent="0.3">
      <c r="A134" s="15" t="s">
        <v>208</v>
      </c>
      <c r="B134" s="29">
        <v>519</v>
      </c>
      <c r="C134" s="19">
        <v>0.17365471324428</v>
      </c>
      <c r="D134" s="17">
        <v>71193</v>
      </c>
      <c r="E134" s="15" t="s">
        <v>95</v>
      </c>
      <c r="F134" s="29">
        <v>25</v>
      </c>
      <c r="G134" s="20" t="s">
        <v>405</v>
      </c>
      <c r="H134" s="18">
        <v>0.18</v>
      </c>
      <c r="I134" s="18">
        <v>0.65</v>
      </c>
      <c r="J134" s="17">
        <v>12363</v>
      </c>
      <c r="K134" s="17">
        <v>1446.471</v>
      </c>
      <c r="L134" s="17">
        <v>120.05709299999999</v>
      </c>
    </row>
    <row r="135" spans="1:12" x14ac:dyDescent="0.3">
      <c r="A135" s="9" t="s">
        <v>209</v>
      </c>
      <c r="B135" s="28">
        <v>772</v>
      </c>
      <c r="C135" s="13">
        <v>0.354904029889057</v>
      </c>
      <c r="D135" s="11">
        <v>70126</v>
      </c>
      <c r="E135" s="9" t="s">
        <v>79</v>
      </c>
      <c r="F135" s="28">
        <v>20</v>
      </c>
      <c r="G135" s="14" t="s">
        <v>405</v>
      </c>
      <c r="H135" s="12">
        <v>0.18</v>
      </c>
      <c r="I135" s="12">
        <v>0.65</v>
      </c>
      <c r="J135" s="11">
        <v>24888</v>
      </c>
      <c r="K135" s="11">
        <v>2911.8960000000002</v>
      </c>
      <c r="L135" s="11">
        <v>241.68736799999999</v>
      </c>
    </row>
    <row r="136" spans="1:12" x14ac:dyDescent="0.3">
      <c r="A136" s="15" t="s">
        <v>210</v>
      </c>
      <c r="B136" s="29">
        <v>685</v>
      </c>
      <c r="C136" s="19">
        <v>1.41150265957447</v>
      </c>
      <c r="D136" s="17">
        <v>15040</v>
      </c>
      <c r="E136" s="15" t="s">
        <v>79</v>
      </c>
      <c r="F136" s="29">
        <v>-50</v>
      </c>
      <c r="G136" s="20" t="s">
        <v>405</v>
      </c>
      <c r="H136" s="18">
        <v>0.18</v>
      </c>
      <c r="I136" s="18">
        <v>0.65</v>
      </c>
      <c r="J136" s="17">
        <v>21229</v>
      </c>
      <c r="K136" s="17">
        <v>2483.7930000000001</v>
      </c>
      <c r="L136" s="17">
        <v>206.154819</v>
      </c>
    </row>
    <row r="137" spans="1:12" x14ac:dyDescent="0.3">
      <c r="A137" s="9" t="s">
        <v>211</v>
      </c>
      <c r="B137" s="28">
        <v>597</v>
      </c>
      <c r="C137" s="13">
        <v>0.235936580729835</v>
      </c>
      <c r="D137" s="11">
        <v>66289</v>
      </c>
      <c r="E137" s="9" t="s">
        <v>95</v>
      </c>
      <c r="F137" s="28">
        <v>25</v>
      </c>
      <c r="G137" s="14" t="s">
        <v>405</v>
      </c>
      <c r="H137" s="12">
        <v>0.18</v>
      </c>
      <c r="I137" s="12">
        <v>0.65</v>
      </c>
      <c r="J137" s="11">
        <v>15640</v>
      </c>
      <c r="K137" s="11">
        <v>1829.88</v>
      </c>
      <c r="L137" s="11">
        <v>151.88004000000001</v>
      </c>
    </row>
    <row r="138" spans="1:12" x14ac:dyDescent="0.3">
      <c r="A138" s="15" t="s">
        <v>212</v>
      </c>
      <c r="B138" s="29">
        <v>552</v>
      </c>
      <c r="C138" s="19">
        <v>0.33057361609041802</v>
      </c>
      <c r="D138" s="17">
        <v>65828</v>
      </c>
      <c r="E138" s="15" t="s">
        <v>84</v>
      </c>
      <c r="F138" s="29">
        <v>5</v>
      </c>
      <c r="G138" s="20" t="s">
        <v>405</v>
      </c>
      <c r="H138" s="18">
        <v>0.18</v>
      </c>
      <c r="I138" s="18">
        <v>0.65</v>
      </c>
      <c r="J138" s="17">
        <v>21761</v>
      </c>
      <c r="K138" s="17">
        <v>2546.0369999999998</v>
      </c>
      <c r="L138" s="17">
        <v>211.32107099999999</v>
      </c>
    </row>
    <row r="139" spans="1:12" x14ac:dyDescent="0.3">
      <c r="A139" s="9" t="s">
        <v>213</v>
      </c>
      <c r="B139" s="28">
        <v>704</v>
      </c>
      <c r="C139" s="13">
        <v>0.55632211490391403</v>
      </c>
      <c r="D139" s="11">
        <v>50007</v>
      </c>
      <c r="E139" s="9" t="s">
        <v>79</v>
      </c>
      <c r="F139" s="28">
        <v>-5</v>
      </c>
      <c r="G139" s="14" t="s">
        <v>405</v>
      </c>
      <c r="H139" s="12">
        <v>0.18</v>
      </c>
      <c r="I139" s="12">
        <v>0.65</v>
      </c>
      <c r="J139" s="11">
        <v>27820</v>
      </c>
      <c r="K139" s="11">
        <v>3254.94</v>
      </c>
      <c r="L139" s="11">
        <v>270.16001999999997</v>
      </c>
    </row>
    <row r="140" spans="1:12" x14ac:dyDescent="0.3">
      <c r="A140" s="15" t="s">
        <v>214</v>
      </c>
      <c r="B140" s="29">
        <v>791</v>
      </c>
      <c r="C140" s="19">
        <v>0.62906816842380997</v>
      </c>
      <c r="D140" s="17">
        <v>30542</v>
      </c>
      <c r="E140" s="15" t="s">
        <v>84</v>
      </c>
      <c r="F140" s="29">
        <v>15</v>
      </c>
      <c r="G140" s="20" t="s">
        <v>405</v>
      </c>
      <c r="H140" s="18">
        <v>0.18</v>
      </c>
      <c r="I140" s="18">
        <v>0.65</v>
      </c>
      <c r="J140" s="17">
        <v>19213</v>
      </c>
      <c r="K140" s="17">
        <v>2247.9209999999998</v>
      </c>
      <c r="L140" s="17">
        <v>186.57744299999999</v>
      </c>
    </row>
    <row r="141" spans="1:12" x14ac:dyDescent="0.3">
      <c r="A141" s="9" t="s">
        <v>215</v>
      </c>
      <c r="B141" s="28">
        <v>656</v>
      </c>
      <c r="C141" s="13">
        <v>0.28380450113448202</v>
      </c>
      <c r="D141" s="11">
        <v>65228</v>
      </c>
      <c r="E141" s="9" t="s">
        <v>79</v>
      </c>
      <c r="F141" s="28">
        <v>20</v>
      </c>
      <c r="G141" s="14" t="s">
        <v>405</v>
      </c>
      <c r="H141" s="12">
        <v>0.18</v>
      </c>
      <c r="I141" s="12">
        <v>0.65</v>
      </c>
      <c r="J141" s="11">
        <v>18512</v>
      </c>
      <c r="K141" s="11">
        <v>2165.904</v>
      </c>
      <c r="L141" s="11">
        <v>179.77003199999999</v>
      </c>
    </row>
    <row r="142" spans="1:12" x14ac:dyDescent="0.3">
      <c r="A142" s="15" t="s">
        <v>216</v>
      </c>
      <c r="B142" s="29">
        <v>727</v>
      </c>
      <c r="C142" s="19">
        <v>0.53279289379500705</v>
      </c>
      <c r="D142" s="17">
        <v>46382</v>
      </c>
      <c r="E142" s="15" t="s">
        <v>95</v>
      </c>
      <c r="F142" s="29">
        <v>35</v>
      </c>
      <c r="G142" s="20" t="s">
        <v>405</v>
      </c>
      <c r="H142" s="18">
        <v>0.18</v>
      </c>
      <c r="I142" s="18">
        <v>0.65</v>
      </c>
      <c r="J142" s="17">
        <v>24712</v>
      </c>
      <c r="K142" s="17">
        <v>2891.3040000000001</v>
      </c>
      <c r="L142" s="17">
        <v>239.97823199999999</v>
      </c>
    </row>
    <row r="143" spans="1:12" x14ac:dyDescent="0.3">
      <c r="A143" s="9" t="s">
        <v>217</v>
      </c>
      <c r="B143" s="28">
        <v>514</v>
      </c>
      <c r="C143" s="13">
        <v>0.306286813318909</v>
      </c>
      <c r="D143" s="11">
        <v>58233</v>
      </c>
      <c r="E143" s="9" t="s">
        <v>79</v>
      </c>
      <c r="F143" s="28">
        <v>-40</v>
      </c>
      <c r="G143" s="14" t="s">
        <v>405</v>
      </c>
      <c r="H143" s="12">
        <v>0.18</v>
      </c>
      <c r="I143" s="12">
        <v>0.65</v>
      </c>
      <c r="J143" s="11">
        <v>17836</v>
      </c>
      <c r="K143" s="11">
        <v>2086.8119999999999</v>
      </c>
      <c r="L143" s="11">
        <v>173.20539600000001</v>
      </c>
    </row>
    <row r="144" spans="1:12" x14ac:dyDescent="0.3">
      <c r="A144" s="15" t="s">
        <v>218</v>
      </c>
      <c r="B144" s="29">
        <v>679</v>
      </c>
      <c r="C144" s="19">
        <v>0.34987032945922603</v>
      </c>
      <c r="D144" s="17">
        <v>83288</v>
      </c>
      <c r="E144" s="15" t="s">
        <v>84</v>
      </c>
      <c r="F144" s="29">
        <v>40</v>
      </c>
      <c r="G144" s="20" t="s">
        <v>405</v>
      </c>
      <c r="H144" s="18">
        <v>0.18</v>
      </c>
      <c r="I144" s="18">
        <v>0.65</v>
      </c>
      <c r="J144" s="17">
        <v>29140</v>
      </c>
      <c r="K144" s="17">
        <v>3409.38</v>
      </c>
      <c r="L144" s="17">
        <v>282.97854000000001</v>
      </c>
    </row>
    <row r="145" spans="1:12" x14ac:dyDescent="0.3">
      <c r="A145" s="9" t="s">
        <v>219</v>
      </c>
      <c r="B145" s="28">
        <v>513</v>
      </c>
      <c r="C145" s="13">
        <v>0.673398043809736</v>
      </c>
      <c r="D145" s="11">
        <v>53778</v>
      </c>
      <c r="E145" s="9" t="s">
        <v>95</v>
      </c>
      <c r="F145" s="28">
        <v>-30</v>
      </c>
      <c r="G145" s="14" t="s">
        <v>405</v>
      </c>
      <c r="H145" s="12">
        <v>0.18</v>
      </c>
      <c r="I145" s="12">
        <v>0.65</v>
      </c>
      <c r="J145" s="11">
        <v>36214</v>
      </c>
      <c r="K145" s="11">
        <v>4237.0379999999996</v>
      </c>
      <c r="L145" s="11">
        <v>351.67415399999999</v>
      </c>
    </row>
    <row r="146" spans="1:12" x14ac:dyDescent="0.3">
      <c r="A146" s="15" t="s">
        <v>220</v>
      </c>
      <c r="B146" s="29">
        <v>397</v>
      </c>
      <c r="C146" s="19">
        <v>0.25978014872292299</v>
      </c>
      <c r="D146" s="17">
        <v>49488</v>
      </c>
      <c r="E146" s="15" t="s">
        <v>79</v>
      </c>
      <c r="F146" s="29">
        <v>-25</v>
      </c>
      <c r="G146" s="20" t="s">
        <v>405</v>
      </c>
      <c r="H146" s="18">
        <v>0.18</v>
      </c>
      <c r="I146" s="18">
        <v>0.65</v>
      </c>
      <c r="J146" s="17">
        <v>12856</v>
      </c>
      <c r="K146" s="17">
        <v>1504.152</v>
      </c>
      <c r="L146" s="17">
        <v>124.844616</v>
      </c>
    </row>
    <row r="147" spans="1:12" x14ac:dyDescent="0.3">
      <c r="A147" s="9" t="s">
        <v>221</v>
      </c>
      <c r="B147" s="28">
        <v>827</v>
      </c>
      <c r="C147" s="13">
        <v>0.22240014233609101</v>
      </c>
      <c r="D147" s="11">
        <v>44964</v>
      </c>
      <c r="E147" s="9" t="s">
        <v>79</v>
      </c>
      <c r="F147" s="28">
        <v>25</v>
      </c>
      <c r="G147" s="14" t="s">
        <v>405</v>
      </c>
      <c r="H147" s="12">
        <v>0.18</v>
      </c>
      <c r="I147" s="12">
        <v>0.65</v>
      </c>
      <c r="J147" s="11">
        <v>10000</v>
      </c>
      <c r="K147" s="11">
        <v>1170</v>
      </c>
      <c r="L147" s="11">
        <v>97.11</v>
      </c>
    </row>
    <row r="148" spans="1:12" x14ac:dyDescent="0.3">
      <c r="A148" s="15" t="s">
        <v>222</v>
      </c>
      <c r="B148" s="29">
        <v>827</v>
      </c>
      <c r="C148" s="19">
        <v>0.60207558048115695</v>
      </c>
      <c r="D148" s="17">
        <v>38158</v>
      </c>
      <c r="E148" s="15" t="s">
        <v>95</v>
      </c>
      <c r="F148" s="29">
        <v>20</v>
      </c>
      <c r="G148" s="20" t="s">
        <v>405</v>
      </c>
      <c r="H148" s="18">
        <v>0.18</v>
      </c>
      <c r="I148" s="18">
        <v>0.65</v>
      </c>
      <c r="J148" s="17">
        <v>22974</v>
      </c>
      <c r="K148" s="17">
        <v>2687.9580000000001</v>
      </c>
      <c r="L148" s="17">
        <v>223.100514</v>
      </c>
    </row>
    <row r="149" spans="1:12" x14ac:dyDescent="0.3">
      <c r="A149" s="9" t="s">
        <v>223</v>
      </c>
      <c r="B149" s="28">
        <v>834</v>
      </c>
      <c r="C149" s="13">
        <v>0.17195851474284099</v>
      </c>
      <c r="D149" s="11">
        <v>56502</v>
      </c>
      <c r="E149" s="9" t="s">
        <v>79</v>
      </c>
      <c r="F149" s="28">
        <v>25</v>
      </c>
      <c r="G149" s="14" t="s">
        <v>405</v>
      </c>
      <c r="H149" s="12">
        <v>0.18</v>
      </c>
      <c r="I149" s="12">
        <v>0.65</v>
      </c>
      <c r="J149" s="11">
        <v>9716</v>
      </c>
      <c r="K149" s="11">
        <v>1136.7719999999999</v>
      </c>
      <c r="L149" s="11">
        <v>94.352075999999997</v>
      </c>
    </row>
    <row r="150" spans="1:12" ht="26.4" x14ac:dyDescent="0.3">
      <c r="A150" s="15" t="s">
        <v>224</v>
      </c>
      <c r="B150" s="29">
        <v>848</v>
      </c>
      <c r="C150" s="19">
        <v>0.25268405919438702</v>
      </c>
      <c r="D150" s="17">
        <v>37909</v>
      </c>
      <c r="E150" s="15" t="s">
        <v>95</v>
      </c>
      <c r="F150" s="29">
        <v>65</v>
      </c>
      <c r="G150" s="39" t="s">
        <v>402</v>
      </c>
      <c r="H150" s="18">
        <v>0.08</v>
      </c>
      <c r="I150" s="18">
        <v>0.55000000000000004</v>
      </c>
      <c r="J150" s="17">
        <v>9579</v>
      </c>
      <c r="K150" s="17">
        <v>421.476</v>
      </c>
      <c r="L150" s="17">
        <v>34.982508000000003</v>
      </c>
    </row>
    <row r="151" spans="1:12" x14ac:dyDescent="0.3">
      <c r="A151" s="9" t="s">
        <v>225</v>
      </c>
      <c r="B151" s="28">
        <v>627</v>
      </c>
      <c r="C151" s="13">
        <v>7.2866149369544095E-2</v>
      </c>
      <c r="D151" s="11">
        <v>49488</v>
      </c>
      <c r="E151" s="9" t="s">
        <v>79</v>
      </c>
      <c r="F151" s="28">
        <v>10</v>
      </c>
      <c r="G151" s="14" t="s">
        <v>405</v>
      </c>
      <c r="H151" s="12">
        <v>0.18</v>
      </c>
      <c r="I151" s="12">
        <v>0.65</v>
      </c>
      <c r="J151" s="11">
        <v>3606</v>
      </c>
      <c r="K151" s="11">
        <v>421.90199999999999</v>
      </c>
      <c r="L151" s="11">
        <v>35.017865999999998</v>
      </c>
    </row>
    <row r="152" spans="1:12" x14ac:dyDescent="0.3">
      <c r="A152" s="15" t="s">
        <v>226</v>
      </c>
      <c r="B152" s="29">
        <v>464</v>
      </c>
      <c r="C152" s="19">
        <v>0.55124617687251898</v>
      </c>
      <c r="D152" s="17">
        <v>30734</v>
      </c>
      <c r="E152" s="15" t="s">
        <v>95</v>
      </c>
      <c r="F152" s="29">
        <v>0</v>
      </c>
      <c r="G152" s="20" t="s">
        <v>405</v>
      </c>
      <c r="H152" s="18">
        <v>0.18</v>
      </c>
      <c r="I152" s="18">
        <v>0.65</v>
      </c>
      <c r="J152" s="17">
        <v>16942</v>
      </c>
      <c r="K152" s="17">
        <v>1982.2139999999999</v>
      </c>
      <c r="L152" s="17">
        <v>164.523762</v>
      </c>
    </row>
    <row r="153" spans="1:12" x14ac:dyDescent="0.3">
      <c r="A153" s="9" t="s">
        <v>227</v>
      </c>
      <c r="B153" s="28">
        <v>415</v>
      </c>
      <c r="C153" s="13">
        <v>0.41100397759220297</v>
      </c>
      <c r="D153" s="11">
        <v>48019</v>
      </c>
      <c r="E153" s="9" t="s">
        <v>79</v>
      </c>
      <c r="F153" s="28">
        <v>-40</v>
      </c>
      <c r="G153" s="14" t="s">
        <v>405</v>
      </c>
      <c r="H153" s="12">
        <v>0.18</v>
      </c>
      <c r="I153" s="12">
        <v>0.65</v>
      </c>
      <c r="J153" s="11">
        <v>19736</v>
      </c>
      <c r="K153" s="11">
        <v>2309.1120000000001</v>
      </c>
      <c r="L153" s="11">
        <v>191.656296</v>
      </c>
    </row>
    <row r="154" spans="1:12" x14ac:dyDescent="0.3">
      <c r="A154" s="15" t="s">
        <v>228</v>
      </c>
      <c r="B154" s="29">
        <v>449</v>
      </c>
      <c r="C154" s="19">
        <v>0.30124783954720702</v>
      </c>
      <c r="D154" s="17">
        <v>52651</v>
      </c>
      <c r="E154" s="15" t="s">
        <v>95</v>
      </c>
      <c r="F154" s="29">
        <v>0</v>
      </c>
      <c r="G154" s="20" t="s">
        <v>405</v>
      </c>
      <c r="H154" s="18">
        <v>0.18</v>
      </c>
      <c r="I154" s="18">
        <v>0.65</v>
      </c>
      <c r="J154" s="17">
        <v>15861</v>
      </c>
      <c r="K154" s="17">
        <v>1855.7370000000001</v>
      </c>
      <c r="L154" s="17">
        <v>154.02617100000001</v>
      </c>
    </row>
    <row r="155" spans="1:12" x14ac:dyDescent="0.3">
      <c r="A155" s="9" t="s">
        <v>229</v>
      </c>
      <c r="B155" s="28">
        <v>817</v>
      </c>
      <c r="C155" s="13">
        <v>3.1993215460526301</v>
      </c>
      <c r="D155" s="11">
        <v>9728</v>
      </c>
      <c r="E155" s="9" t="s">
        <v>95</v>
      </c>
      <c r="F155" s="28">
        <v>5</v>
      </c>
      <c r="G155" s="14" t="s">
        <v>405</v>
      </c>
      <c r="H155" s="12">
        <v>0.18</v>
      </c>
      <c r="I155" s="12">
        <v>0.65</v>
      </c>
      <c r="J155" s="11">
        <v>31123</v>
      </c>
      <c r="K155" s="11">
        <v>3641.3910000000001</v>
      </c>
      <c r="L155" s="11">
        <v>302.23545300000001</v>
      </c>
    </row>
    <row r="156" spans="1:12" x14ac:dyDescent="0.3">
      <c r="A156" s="15" t="s">
        <v>230</v>
      </c>
      <c r="B156" s="29">
        <v>331</v>
      </c>
      <c r="C156" s="19">
        <v>0.56642668942739505</v>
      </c>
      <c r="D156" s="17">
        <v>53894</v>
      </c>
      <c r="E156" s="15" t="s">
        <v>79</v>
      </c>
      <c r="F156" s="29">
        <v>-40</v>
      </c>
      <c r="G156" s="20" t="s">
        <v>405</v>
      </c>
      <c r="H156" s="18">
        <v>0.18</v>
      </c>
      <c r="I156" s="18">
        <v>0.65</v>
      </c>
      <c r="J156" s="17">
        <v>30527</v>
      </c>
      <c r="K156" s="17">
        <v>3571.6590000000001</v>
      </c>
      <c r="L156" s="17">
        <v>296.44769700000001</v>
      </c>
    </row>
    <row r="157" spans="1:12" x14ac:dyDescent="0.3">
      <c r="A157" s="9" t="s">
        <v>231</v>
      </c>
      <c r="B157" s="28">
        <v>592</v>
      </c>
      <c r="C157" s="13">
        <v>0.71847751145719296</v>
      </c>
      <c r="D157" s="11">
        <v>49314</v>
      </c>
      <c r="E157" s="9" t="s">
        <v>95</v>
      </c>
      <c r="F157" s="28">
        <v>-30</v>
      </c>
      <c r="G157" s="14" t="s">
        <v>405</v>
      </c>
      <c r="H157" s="12">
        <v>0.18</v>
      </c>
      <c r="I157" s="12">
        <v>0.65</v>
      </c>
      <c r="J157" s="11">
        <v>35431</v>
      </c>
      <c r="K157" s="11">
        <v>4145.4269999999997</v>
      </c>
      <c r="L157" s="11">
        <v>344.07044100000002</v>
      </c>
    </row>
    <row r="158" spans="1:12" x14ac:dyDescent="0.3">
      <c r="A158" s="15" t="s">
        <v>232</v>
      </c>
      <c r="B158" s="29">
        <v>476</v>
      </c>
      <c r="C158" s="19">
        <v>0.52879948085658701</v>
      </c>
      <c r="D158" s="17">
        <v>38525</v>
      </c>
      <c r="E158" s="15" t="s">
        <v>79</v>
      </c>
      <c r="F158" s="29">
        <v>-40</v>
      </c>
      <c r="G158" s="20" t="s">
        <v>405</v>
      </c>
      <c r="H158" s="18">
        <v>0.18</v>
      </c>
      <c r="I158" s="18">
        <v>0.65</v>
      </c>
      <c r="J158" s="17">
        <v>20372</v>
      </c>
      <c r="K158" s="17">
        <v>2383.5239999999999</v>
      </c>
      <c r="L158" s="17">
        <v>197.832492</v>
      </c>
    </row>
    <row r="159" spans="1:12" x14ac:dyDescent="0.3">
      <c r="A159" s="9" t="s">
        <v>233</v>
      </c>
      <c r="B159" s="28">
        <v>360</v>
      </c>
      <c r="C159" s="13">
        <v>0.36642255902721699</v>
      </c>
      <c r="D159" s="11">
        <v>80429</v>
      </c>
      <c r="E159" s="9" t="s">
        <v>79</v>
      </c>
      <c r="F159" s="28">
        <v>-30</v>
      </c>
      <c r="G159" s="14" t="s">
        <v>405</v>
      </c>
      <c r="H159" s="12">
        <v>0.18</v>
      </c>
      <c r="I159" s="12">
        <v>0.65</v>
      </c>
      <c r="J159" s="11">
        <v>29471</v>
      </c>
      <c r="K159" s="11">
        <v>3448.107</v>
      </c>
      <c r="L159" s="11">
        <v>286.192881</v>
      </c>
    </row>
    <row r="160" spans="1:12" x14ac:dyDescent="0.3">
      <c r="A160" s="15" t="s">
        <v>234</v>
      </c>
      <c r="B160" s="29">
        <v>715</v>
      </c>
      <c r="C160" s="19">
        <v>0.34905323329760601</v>
      </c>
      <c r="D160" s="17">
        <v>64377</v>
      </c>
      <c r="E160" s="15" t="s">
        <v>79</v>
      </c>
      <c r="F160" s="29">
        <v>5</v>
      </c>
      <c r="G160" s="20" t="s">
        <v>405</v>
      </c>
      <c r="H160" s="18">
        <v>0.18</v>
      </c>
      <c r="I160" s="18">
        <v>0.65</v>
      </c>
      <c r="J160" s="17">
        <v>22471</v>
      </c>
      <c r="K160" s="17">
        <v>2629.107</v>
      </c>
      <c r="L160" s="17">
        <v>218.215881</v>
      </c>
    </row>
    <row r="161" spans="1:12" x14ac:dyDescent="0.3">
      <c r="A161" s="9" t="s">
        <v>235</v>
      </c>
      <c r="B161" s="28">
        <v>579</v>
      </c>
      <c r="C161" s="13">
        <v>0.64573523275913502</v>
      </c>
      <c r="D161" s="11">
        <v>33554</v>
      </c>
      <c r="E161" s="9" t="s">
        <v>95</v>
      </c>
      <c r="F161" s="28">
        <v>-30</v>
      </c>
      <c r="G161" s="14" t="s">
        <v>405</v>
      </c>
      <c r="H161" s="12">
        <v>0.18</v>
      </c>
      <c r="I161" s="12">
        <v>0.65</v>
      </c>
      <c r="J161" s="11">
        <v>21667</v>
      </c>
      <c r="K161" s="11">
        <v>2535.0390000000002</v>
      </c>
      <c r="L161" s="11">
        <v>210.40823700000001</v>
      </c>
    </row>
    <row r="162" spans="1:12" x14ac:dyDescent="0.3">
      <c r="A162" s="15" t="s">
        <v>236</v>
      </c>
      <c r="B162" s="29">
        <v>306</v>
      </c>
      <c r="C162" s="19">
        <v>0.25986831591395798</v>
      </c>
      <c r="D162" s="17">
        <v>62574</v>
      </c>
      <c r="E162" s="15" t="s">
        <v>79</v>
      </c>
      <c r="F162" s="29">
        <v>-15</v>
      </c>
      <c r="G162" s="20" t="s">
        <v>405</v>
      </c>
      <c r="H162" s="18">
        <v>0.18</v>
      </c>
      <c r="I162" s="18">
        <v>0.65</v>
      </c>
      <c r="J162" s="17">
        <v>16261</v>
      </c>
      <c r="K162" s="17">
        <v>1902.537</v>
      </c>
      <c r="L162" s="17">
        <v>157.910571</v>
      </c>
    </row>
    <row r="163" spans="1:12" x14ac:dyDescent="0.3">
      <c r="A163" s="9" t="s">
        <v>237</v>
      </c>
      <c r="B163" s="28">
        <v>384</v>
      </c>
      <c r="C163" s="13">
        <v>2.75969534128475E-2</v>
      </c>
      <c r="D163" s="11">
        <v>68667</v>
      </c>
      <c r="E163" s="9" t="s">
        <v>95</v>
      </c>
      <c r="F163" s="28">
        <v>25</v>
      </c>
      <c r="G163" s="14" t="s">
        <v>405</v>
      </c>
      <c r="H163" s="12">
        <v>0.18</v>
      </c>
      <c r="I163" s="12">
        <v>0.65</v>
      </c>
      <c r="J163" s="11">
        <v>1895</v>
      </c>
      <c r="K163" s="11">
        <v>221.715</v>
      </c>
      <c r="L163" s="11">
        <v>18.402345</v>
      </c>
    </row>
    <row r="164" spans="1:12" x14ac:dyDescent="0.3">
      <c r="A164" s="15" t="s">
        <v>238</v>
      </c>
      <c r="B164" s="29">
        <v>697</v>
      </c>
      <c r="C164" s="19">
        <v>0.48283955367449</v>
      </c>
      <c r="D164" s="17">
        <v>51980</v>
      </c>
      <c r="E164" s="15" t="s">
        <v>84</v>
      </c>
      <c r="F164" s="29">
        <v>30</v>
      </c>
      <c r="G164" s="20" t="s">
        <v>405</v>
      </c>
      <c r="H164" s="18">
        <v>0.18</v>
      </c>
      <c r="I164" s="18">
        <v>0.65</v>
      </c>
      <c r="J164" s="17">
        <v>25098</v>
      </c>
      <c r="K164" s="17">
        <v>2936.4659999999999</v>
      </c>
      <c r="L164" s="17">
        <v>243.72667799999999</v>
      </c>
    </row>
    <row r="165" spans="1:12" x14ac:dyDescent="0.3">
      <c r="A165" s="9" t="s">
        <v>239</v>
      </c>
      <c r="B165" s="28">
        <v>692</v>
      </c>
      <c r="C165" s="13">
        <v>0.52746201869293796</v>
      </c>
      <c r="D165" s="11">
        <v>55422</v>
      </c>
      <c r="E165" s="9" t="s">
        <v>84</v>
      </c>
      <c r="F165" s="28">
        <v>30</v>
      </c>
      <c r="G165" s="14" t="s">
        <v>405</v>
      </c>
      <c r="H165" s="12">
        <v>0.18</v>
      </c>
      <c r="I165" s="12">
        <v>0.65</v>
      </c>
      <c r="J165" s="11">
        <v>29233</v>
      </c>
      <c r="K165" s="11">
        <v>3420.261</v>
      </c>
      <c r="L165" s="11">
        <v>283.881663</v>
      </c>
    </row>
    <row r="166" spans="1:12" x14ac:dyDescent="0.3">
      <c r="A166" s="15" t="s">
        <v>240</v>
      </c>
      <c r="B166" s="29">
        <v>346</v>
      </c>
      <c r="C166" s="19">
        <v>0.157512932428063</v>
      </c>
      <c r="D166" s="17">
        <v>49488</v>
      </c>
      <c r="E166" s="15" t="s">
        <v>84</v>
      </c>
      <c r="F166" s="29">
        <v>10</v>
      </c>
      <c r="G166" s="20" t="s">
        <v>405</v>
      </c>
      <c r="H166" s="18">
        <v>0.18</v>
      </c>
      <c r="I166" s="18">
        <v>0.65</v>
      </c>
      <c r="J166" s="17">
        <v>7795</v>
      </c>
      <c r="K166" s="17">
        <v>912.01499999999999</v>
      </c>
      <c r="L166" s="17">
        <v>75.697244999999995</v>
      </c>
    </row>
    <row r="167" spans="1:12" x14ac:dyDescent="0.3">
      <c r="A167" s="9" t="s">
        <v>241</v>
      </c>
      <c r="B167" s="28">
        <v>640</v>
      </c>
      <c r="C167" s="13">
        <v>1.0646074921177799</v>
      </c>
      <c r="D167" s="11">
        <v>18713</v>
      </c>
      <c r="E167" s="9" t="s">
        <v>79</v>
      </c>
      <c r="F167" s="28">
        <v>-50</v>
      </c>
      <c r="G167" s="14" t="s">
        <v>405</v>
      </c>
      <c r="H167" s="12">
        <v>0.18</v>
      </c>
      <c r="I167" s="12">
        <v>0.65</v>
      </c>
      <c r="J167" s="11">
        <v>19922</v>
      </c>
      <c r="K167" s="11">
        <v>2330.8739999999998</v>
      </c>
      <c r="L167" s="11">
        <v>193.46254200000001</v>
      </c>
    </row>
    <row r="168" spans="1:12" x14ac:dyDescent="0.3">
      <c r="A168" s="15" t="s">
        <v>242</v>
      </c>
      <c r="B168" s="29">
        <v>579</v>
      </c>
      <c r="C168" s="19">
        <v>0.59183846430917197</v>
      </c>
      <c r="D168" s="17">
        <v>47197</v>
      </c>
      <c r="E168" s="15" t="s">
        <v>95</v>
      </c>
      <c r="F168" s="29">
        <v>0</v>
      </c>
      <c r="G168" s="20" t="s">
        <v>405</v>
      </c>
      <c r="H168" s="18">
        <v>0.18</v>
      </c>
      <c r="I168" s="18">
        <v>0.65</v>
      </c>
      <c r="J168" s="17">
        <v>27933</v>
      </c>
      <c r="K168" s="17">
        <v>3268.1610000000001</v>
      </c>
      <c r="L168" s="17">
        <v>271.257363</v>
      </c>
    </row>
    <row r="169" spans="1:12" x14ac:dyDescent="0.3">
      <c r="A169" s="9" t="s">
        <v>243</v>
      </c>
      <c r="B169" s="28">
        <v>777</v>
      </c>
      <c r="C169" s="13">
        <v>0.36892450879007199</v>
      </c>
      <c r="D169" s="11">
        <v>46416</v>
      </c>
      <c r="E169" s="9" t="s">
        <v>79</v>
      </c>
      <c r="F169" s="28">
        <v>10</v>
      </c>
      <c r="G169" s="14" t="s">
        <v>405</v>
      </c>
      <c r="H169" s="12">
        <v>0.18</v>
      </c>
      <c r="I169" s="12">
        <v>0.65</v>
      </c>
      <c r="J169" s="11">
        <v>17124</v>
      </c>
      <c r="K169" s="11">
        <v>2003.508</v>
      </c>
      <c r="L169" s="11">
        <v>166.29116400000001</v>
      </c>
    </row>
    <row r="170" spans="1:12" ht="26.4" x14ac:dyDescent="0.3">
      <c r="A170" s="15" t="s">
        <v>244</v>
      </c>
      <c r="B170" s="29">
        <v>725</v>
      </c>
      <c r="C170" s="19">
        <v>0.41349437384537902</v>
      </c>
      <c r="D170" s="17">
        <v>71452</v>
      </c>
      <c r="E170" s="15" t="s">
        <v>95</v>
      </c>
      <c r="F170" s="29">
        <v>45</v>
      </c>
      <c r="G170" s="39" t="s">
        <v>402</v>
      </c>
      <c r="H170" s="18">
        <v>0.08</v>
      </c>
      <c r="I170" s="18">
        <v>0.55000000000000004</v>
      </c>
      <c r="J170" s="17">
        <v>29545</v>
      </c>
      <c r="K170" s="17">
        <v>1299.98</v>
      </c>
      <c r="L170" s="17">
        <v>107.89834</v>
      </c>
    </row>
    <row r="171" spans="1:12" x14ac:dyDescent="0.3">
      <c r="A171" s="9" t="s">
        <v>245</v>
      </c>
      <c r="B171" s="28">
        <v>725</v>
      </c>
      <c r="C171" s="13">
        <v>0.34319892375377198</v>
      </c>
      <c r="D171" s="11">
        <v>55006</v>
      </c>
      <c r="E171" s="9" t="s">
        <v>84</v>
      </c>
      <c r="F171" s="28">
        <v>30</v>
      </c>
      <c r="G171" s="14" t="s">
        <v>405</v>
      </c>
      <c r="H171" s="12">
        <v>0.18</v>
      </c>
      <c r="I171" s="12">
        <v>0.65</v>
      </c>
      <c r="J171" s="11">
        <v>18878</v>
      </c>
      <c r="K171" s="11">
        <v>2208.7260000000001</v>
      </c>
      <c r="L171" s="11">
        <v>183.32425799999999</v>
      </c>
    </row>
    <row r="172" spans="1:12" ht="26.4" x14ac:dyDescent="0.3">
      <c r="A172" s="15" t="s">
        <v>246</v>
      </c>
      <c r="B172" s="29">
        <v>814</v>
      </c>
      <c r="C172" s="19">
        <v>0.34695625439212902</v>
      </c>
      <c r="D172" s="17">
        <v>45536</v>
      </c>
      <c r="E172" s="15" t="s">
        <v>84</v>
      </c>
      <c r="F172" s="29">
        <v>45</v>
      </c>
      <c r="G172" s="39" t="s">
        <v>402</v>
      </c>
      <c r="H172" s="18">
        <v>0.08</v>
      </c>
      <c r="I172" s="18">
        <v>0.55000000000000004</v>
      </c>
      <c r="J172" s="17">
        <v>15799</v>
      </c>
      <c r="K172" s="17">
        <v>695.15599999999995</v>
      </c>
      <c r="L172" s="17">
        <v>57.697947999999997</v>
      </c>
    </row>
    <row r="173" spans="1:12" x14ac:dyDescent="0.3">
      <c r="A173" s="9" t="s">
        <v>247</v>
      </c>
      <c r="B173" s="28">
        <v>428</v>
      </c>
      <c r="C173" s="13">
        <v>0.61671600065778698</v>
      </c>
      <c r="D173" s="11">
        <v>48648</v>
      </c>
      <c r="E173" s="9" t="s">
        <v>84</v>
      </c>
      <c r="F173" s="28">
        <v>-35</v>
      </c>
      <c r="G173" s="14" t="s">
        <v>405</v>
      </c>
      <c r="H173" s="12">
        <v>0.18</v>
      </c>
      <c r="I173" s="12">
        <v>0.65</v>
      </c>
      <c r="J173" s="11">
        <v>30002</v>
      </c>
      <c r="K173" s="11">
        <v>3510.2339999999999</v>
      </c>
      <c r="L173" s="11">
        <v>291.349422</v>
      </c>
    </row>
    <row r="174" spans="1:12" x14ac:dyDescent="0.3">
      <c r="A174" s="15" t="s">
        <v>248</v>
      </c>
      <c r="B174" s="29">
        <v>548</v>
      </c>
      <c r="C174" s="19">
        <v>0.191733867882664</v>
      </c>
      <c r="D174" s="17">
        <v>65351</v>
      </c>
      <c r="E174" s="15" t="s">
        <v>79</v>
      </c>
      <c r="F174" s="29">
        <v>-15</v>
      </c>
      <c r="G174" s="20" t="s">
        <v>405</v>
      </c>
      <c r="H174" s="18">
        <v>0.18</v>
      </c>
      <c r="I174" s="18">
        <v>0.65</v>
      </c>
      <c r="J174" s="17">
        <v>12530</v>
      </c>
      <c r="K174" s="17">
        <v>1466.01</v>
      </c>
      <c r="L174" s="17">
        <v>121.67883</v>
      </c>
    </row>
    <row r="175" spans="1:12" x14ac:dyDescent="0.3">
      <c r="A175" s="9" t="s">
        <v>249</v>
      </c>
      <c r="B175" s="28">
        <v>430</v>
      </c>
      <c r="C175" s="13">
        <v>0.30067116935910698</v>
      </c>
      <c r="D175" s="11">
        <v>47231</v>
      </c>
      <c r="E175" s="9" t="s">
        <v>79</v>
      </c>
      <c r="F175" s="28">
        <v>-40</v>
      </c>
      <c r="G175" s="14" t="s">
        <v>405</v>
      </c>
      <c r="H175" s="12">
        <v>0.18</v>
      </c>
      <c r="I175" s="12">
        <v>0.65</v>
      </c>
      <c r="J175" s="11">
        <v>14201</v>
      </c>
      <c r="K175" s="11">
        <v>1661.5170000000001</v>
      </c>
      <c r="L175" s="11">
        <v>137.905911</v>
      </c>
    </row>
    <row r="176" spans="1:12" x14ac:dyDescent="0.3">
      <c r="A176" s="15" t="s">
        <v>250</v>
      </c>
      <c r="B176" s="29">
        <v>622</v>
      </c>
      <c r="C176" s="19">
        <v>0.32474005110430798</v>
      </c>
      <c r="D176" s="17">
        <v>39527</v>
      </c>
      <c r="E176" s="15" t="s">
        <v>95</v>
      </c>
      <c r="F176" s="29">
        <v>35</v>
      </c>
      <c r="G176" s="20" t="s">
        <v>405</v>
      </c>
      <c r="H176" s="18">
        <v>0.18</v>
      </c>
      <c r="I176" s="18">
        <v>0.65</v>
      </c>
      <c r="J176" s="17">
        <v>12836</v>
      </c>
      <c r="K176" s="17">
        <v>1501.8119999999999</v>
      </c>
      <c r="L176" s="17">
        <v>124.650396</v>
      </c>
    </row>
    <row r="177" spans="1:12" ht="26.4" x14ac:dyDescent="0.3">
      <c r="A177" s="9" t="s">
        <v>251</v>
      </c>
      <c r="B177" s="28">
        <v>842</v>
      </c>
      <c r="C177" s="13">
        <v>0.236765218908076</v>
      </c>
      <c r="D177" s="11">
        <v>45864</v>
      </c>
      <c r="E177" s="9" t="s">
        <v>95</v>
      </c>
      <c r="F177" s="28">
        <v>65</v>
      </c>
      <c r="G177" s="38" t="s">
        <v>402</v>
      </c>
      <c r="H177" s="12">
        <v>0.08</v>
      </c>
      <c r="I177" s="12">
        <v>0.55000000000000004</v>
      </c>
      <c r="J177" s="11">
        <v>10859</v>
      </c>
      <c r="K177" s="11">
        <v>477.79599999999999</v>
      </c>
      <c r="L177" s="11">
        <v>39.657068000000002</v>
      </c>
    </row>
    <row r="178" spans="1:12" x14ac:dyDescent="0.3">
      <c r="A178" s="15" t="s">
        <v>252</v>
      </c>
      <c r="B178" s="29">
        <v>365</v>
      </c>
      <c r="C178" s="19">
        <v>0.33105599750428999</v>
      </c>
      <c r="D178" s="17">
        <v>64110</v>
      </c>
      <c r="E178" s="15" t="s">
        <v>84</v>
      </c>
      <c r="F178" s="29">
        <v>5</v>
      </c>
      <c r="G178" s="20" t="s">
        <v>405</v>
      </c>
      <c r="H178" s="18">
        <v>0.18</v>
      </c>
      <c r="I178" s="18">
        <v>0.65</v>
      </c>
      <c r="J178" s="17">
        <v>21224</v>
      </c>
      <c r="K178" s="17">
        <v>2483.2080000000001</v>
      </c>
      <c r="L178" s="17">
        <v>206.10626400000001</v>
      </c>
    </row>
    <row r="179" spans="1:12" x14ac:dyDescent="0.3">
      <c r="A179" s="9" t="s">
        <v>253</v>
      </c>
      <c r="B179" s="28">
        <v>400</v>
      </c>
      <c r="C179" s="13">
        <v>0.276748720448452</v>
      </c>
      <c r="D179" s="11">
        <v>57442</v>
      </c>
      <c r="E179" s="9" t="s">
        <v>79</v>
      </c>
      <c r="F179" s="28">
        <v>-25</v>
      </c>
      <c r="G179" s="14" t="s">
        <v>405</v>
      </c>
      <c r="H179" s="12">
        <v>0.18</v>
      </c>
      <c r="I179" s="12">
        <v>0.65</v>
      </c>
      <c r="J179" s="11">
        <v>15897</v>
      </c>
      <c r="K179" s="11">
        <v>1859.9490000000001</v>
      </c>
      <c r="L179" s="11">
        <v>154.375767</v>
      </c>
    </row>
    <row r="180" spans="1:12" x14ac:dyDescent="0.3">
      <c r="A180" s="15" t="s">
        <v>254</v>
      </c>
      <c r="B180" s="29">
        <v>330</v>
      </c>
      <c r="C180" s="19">
        <v>0.471912995420812</v>
      </c>
      <c r="D180" s="17">
        <v>50664</v>
      </c>
      <c r="E180" s="15" t="s">
        <v>79</v>
      </c>
      <c r="F180" s="29">
        <v>-40</v>
      </c>
      <c r="G180" s="20" t="s">
        <v>405</v>
      </c>
      <c r="H180" s="18">
        <v>0.18</v>
      </c>
      <c r="I180" s="18">
        <v>0.65</v>
      </c>
      <c r="J180" s="17">
        <v>23909</v>
      </c>
      <c r="K180" s="17">
        <v>2797.3530000000001</v>
      </c>
      <c r="L180" s="17">
        <v>232.18029899999999</v>
      </c>
    </row>
    <row r="181" spans="1:12" x14ac:dyDescent="0.3">
      <c r="A181" s="9" t="s">
        <v>255</v>
      </c>
      <c r="B181" s="28">
        <v>490</v>
      </c>
      <c r="C181" s="13">
        <v>0.1158057988009</v>
      </c>
      <c r="D181" s="11">
        <v>52873</v>
      </c>
      <c r="E181" s="9" t="s">
        <v>95</v>
      </c>
      <c r="F181" s="28">
        <v>15</v>
      </c>
      <c r="G181" s="14" t="s">
        <v>405</v>
      </c>
      <c r="H181" s="12">
        <v>0.18</v>
      </c>
      <c r="I181" s="12">
        <v>0.65</v>
      </c>
      <c r="J181" s="11">
        <v>6123</v>
      </c>
      <c r="K181" s="11">
        <v>716.39099999999996</v>
      </c>
      <c r="L181" s="11">
        <v>59.460453000000001</v>
      </c>
    </row>
    <row r="182" spans="1:12" ht="26.4" x14ac:dyDescent="0.3">
      <c r="A182" s="15" t="s">
        <v>256</v>
      </c>
      <c r="B182" s="29">
        <v>714</v>
      </c>
      <c r="C182" s="19">
        <v>0.26487837707912698</v>
      </c>
      <c r="D182" s="17">
        <v>41604</v>
      </c>
      <c r="E182" s="15" t="s">
        <v>95</v>
      </c>
      <c r="F182" s="29">
        <v>50</v>
      </c>
      <c r="G182" s="39" t="s">
        <v>402</v>
      </c>
      <c r="H182" s="18">
        <v>0.08</v>
      </c>
      <c r="I182" s="18">
        <v>0.55000000000000004</v>
      </c>
      <c r="J182" s="17">
        <v>11020</v>
      </c>
      <c r="K182" s="17">
        <v>484.88</v>
      </c>
      <c r="L182" s="17">
        <v>40.245040000000003</v>
      </c>
    </row>
    <row r="183" spans="1:12" x14ac:dyDescent="0.3">
      <c r="A183" s="9" t="s">
        <v>257</v>
      </c>
      <c r="B183" s="28">
        <v>799</v>
      </c>
      <c r="C183" s="13">
        <v>0.43347985814699203</v>
      </c>
      <c r="D183" s="11">
        <v>47091</v>
      </c>
      <c r="E183" s="9" t="s">
        <v>79</v>
      </c>
      <c r="F183" s="28">
        <v>10</v>
      </c>
      <c r="G183" s="14" t="s">
        <v>405</v>
      </c>
      <c r="H183" s="12">
        <v>0.18</v>
      </c>
      <c r="I183" s="12">
        <v>0.65</v>
      </c>
      <c r="J183" s="11">
        <v>20413</v>
      </c>
      <c r="K183" s="11">
        <v>2388.3209999999999</v>
      </c>
      <c r="L183" s="11">
        <v>198.23064299999999</v>
      </c>
    </row>
    <row r="184" spans="1:12" x14ac:dyDescent="0.3">
      <c r="A184" s="15" t="s">
        <v>258</v>
      </c>
      <c r="B184" s="29">
        <v>345</v>
      </c>
      <c r="C184" s="19">
        <v>0.79293383270911399</v>
      </c>
      <c r="D184" s="17">
        <v>40050</v>
      </c>
      <c r="E184" s="15" t="s">
        <v>79</v>
      </c>
      <c r="F184" s="29">
        <v>-70</v>
      </c>
      <c r="G184" s="20" t="s">
        <v>405</v>
      </c>
      <c r="H184" s="18">
        <v>0.18</v>
      </c>
      <c r="I184" s="18">
        <v>0.65</v>
      </c>
      <c r="J184" s="17">
        <v>31757</v>
      </c>
      <c r="K184" s="17">
        <v>3715.569</v>
      </c>
      <c r="L184" s="17">
        <v>308.39222699999999</v>
      </c>
    </row>
    <row r="185" spans="1:12" x14ac:dyDescent="0.3">
      <c r="A185" s="9" t="s">
        <v>259</v>
      </c>
      <c r="B185" s="28">
        <v>388</v>
      </c>
      <c r="C185" s="13">
        <v>0.50524375795339904</v>
      </c>
      <c r="D185" s="11">
        <v>45578</v>
      </c>
      <c r="E185" s="9" t="s">
        <v>95</v>
      </c>
      <c r="F185" s="28">
        <v>0</v>
      </c>
      <c r="G185" s="14" t="s">
        <v>405</v>
      </c>
      <c r="H185" s="12">
        <v>0.18</v>
      </c>
      <c r="I185" s="12">
        <v>0.65</v>
      </c>
      <c r="J185" s="11">
        <v>23028</v>
      </c>
      <c r="K185" s="11">
        <v>2694.2759999999998</v>
      </c>
      <c r="L185" s="11">
        <v>223.624908</v>
      </c>
    </row>
    <row r="186" spans="1:12" x14ac:dyDescent="0.3">
      <c r="A186" s="15" t="s">
        <v>260</v>
      </c>
      <c r="B186" s="29">
        <v>674</v>
      </c>
      <c r="C186" s="19">
        <v>0.21775675637171801</v>
      </c>
      <c r="D186" s="17">
        <v>70193</v>
      </c>
      <c r="E186" s="15" t="s">
        <v>79</v>
      </c>
      <c r="F186" s="29">
        <v>20</v>
      </c>
      <c r="G186" s="20" t="s">
        <v>405</v>
      </c>
      <c r="H186" s="18">
        <v>0.18</v>
      </c>
      <c r="I186" s="18">
        <v>0.65</v>
      </c>
      <c r="J186" s="17">
        <v>15285</v>
      </c>
      <c r="K186" s="17">
        <v>1788.345</v>
      </c>
      <c r="L186" s="17">
        <v>148.432635</v>
      </c>
    </row>
    <row r="187" spans="1:12" x14ac:dyDescent="0.3">
      <c r="A187" s="9" t="s">
        <v>261</v>
      </c>
      <c r="B187" s="28">
        <v>545</v>
      </c>
      <c r="C187" s="13">
        <v>0.23894537715772099</v>
      </c>
      <c r="D187" s="11">
        <v>33832</v>
      </c>
      <c r="E187" s="9" t="s">
        <v>79</v>
      </c>
      <c r="F187" s="28">
        <v>-25</v>
      </c>
      <c r="G187" s="14" t="s">
        <v>405</v>
      </c>
      <c r="H187" s="12">
        <v>0.18</v>
      </c>
      <c r="I187" s="12">
        <v>0.65</v>
      </c>
      <c r="J187" s="11">
        <v>8084</v>
      </c>
      <c r="K187" s="11">
        <v>945.82799999999997</v>
      </c>
      <c r="L187" s="11">
        <v>78.503724000000005</v>
      </c>
    </row>
    <row r="188" spans="1:12" x14ac:dyDescent="0.3">
      <c r="A188" s="15" t="s">
        <v>262</v>
      </c>
      <c r="B188" s="29">
        <v>556</v>
      </c>
      <c r="C188" s="19">
        <v>0.373515843605838</v>
      </c>
      <c r="D188" s="17">
        <v>39669</v>
      </c>
      <c r="E188" s="15" t="s">
        <v>84</v>
      </c>
      <c r="F188" s="29">
        <v>-5</v>
      </c>
      <c r="G188" s="20" t="s">
        <v>405</v>
      </c>
      <c r="H188" s="18">
        <v>0.18</v>
      </c>
      <c r="I188" s="18">
        <v>0.65</v>
      </c>
      <c r="J188" s="17">
        <v>14817</v>
      </c>
      <c r="K188" s="17">
        <v>1733.5889999999999</v>
      </c>
      <c r="L188" s="17">
        <v>143.88788700000001</v>
      </c>
    </row>
    <row r="189" spans="1:12" x14ac:dyDescent="0.3">
      <c r="A189" s="9" t="s">
        <v>263</v>
      </c>
      <c r="B189" s="28">
        <v>651</v>
      </c>
      <c r="C189" s="13">
        <v>0.63041108189572304</v>
      </c>
      <c r="D189" s="11">
        <v>31186</v>
      </c>
      <c r="E189" s="9" t="s">
        <v>79</v>
      </c>
      <c r="F189" s="28">
        <v>-35</v>
      </c>
      <c r="G189" s="14" t="s">
        <v>405</v>
      </c>
      <c r="H189" s="12">
        <v>0.18</v>
      </c>
      <c r="I189" s="12">
        <v>0.65</v>
      </c>
      <c r="J189" s="11">
        <v>19660</v>
      </c>
      <c r="K189" s="11">
        <v>2300.2199999999998</v>
      </c>
      <c r="L189" s="11">
        <v>190.91826</v>
      </c>
    </row>
    <row r="190" spans="1:12" x14ac:dyDescent="0.3">
      <c r="A190" s="15" t="s">
        <v>264</v>
      </c>
      <c r="B190" s="29">
        <v>579</v>
      </c>
      <c r="C190" s="19">
        <v>4.0735967926689598E-2</v>
      </c>
      <c r="D190" s="17">
        <v>27936</v>
      </c>
      <c r="E190" s="15" t="s">
        <v>79</v>
      </c>
      <c r="F190" s="29">
        <v>-40</v>
      </c>
      <c r="G190" s="20" t="s">
        <v>405</v>
      </c>
      <c r="H190" s="18">
        <v>0.18</v>
      </c>
      <c r="I190" s="18">
        <v>0.65</v>
      </c>
      <c r="J190" s="17">
        <v>1138</v>
      </c>
      <c r="K190" s="17">
        <v>133.14599999999999</v>
      </c>
      <c r="L190" s="17">
        <v>11.051118000000001</v>
      </c>
    </row>
    <row r="191" spans="1:12" x14ac:dyDescent="0.3">
      <c r="A191" s="9" t="s">
        <v>265</v>
      </c>
      <c r="B191" s="28">
        <v>636</v>
      </c>
      <c r="C191" s="13">
        <v>0.21808127463028101</v>
      </c>
      <c r="D191" s="11">
        <v>47198</v>
      </c>
      <c r="E191" s="9" t="s">
        <v>79</v>
      </c>
      <c r="F191" s="28">
        <v>10</v>
      </c>
      <c r="G191" s="14" t="s">
        <v>405</v>
      </c>
      <c r="H191" s="12">
        <v>0.18</v>
      </c>
      <c r="I191" s="12">
        <v>0.65</v>
      </c>
      <c r="J191" s="11">
        <v>10293</v>
      </c>
      <c r="K191" s="11">
        <v>1204.2809999999999</v>
      </c>
      <c r="L191" s="11">
        <v>99.955323000000007</v>
      </c>
    </row>
    <row r="192" spans="1:12" ht="26.4" x14ac:dyDescent="0.3">
      <c r="A192" s="15" t="s">
        <v>266</v>
      </c>
      <c r="B192" s="29">
        <v>825</v>
      </c>
      <c r="C192" s="19">
        <v>0.34613118617439098</v>
      </c>
      <c r="D192" s="17">
        <v>40736</v>
      </c>
      <c r="E192" s="15" t="s">
        <v>95</v>
      </c>
      <c r="F192" s="29">
        <v>50</v>
      </c>
      <c r="G192" s="39" t="s">
        <v>402</v>
      </c>
      <c r="H192" s="18">
        <v>0.08</v>
      </c>
      <c r="I192" s="18">
        <v>0.55000000000000004</v>
      </c>
      <c r="J192" s="17">
        <v>14100</v>
      </c>
      <c r="K192" s="17">
        <v>620.4</v>
      </c>
      <c r="L192" s="17">
        <v>51.493200000000002</v>
      </c>
    </row>
    <row r="193" spans="1:12" ht="26.4" x14ac:dyDescent="0.3">
      <c r="A193" s="9" t="s">
        <v>267</v>
      </c>
      <c r="B193" s="28">
        <v>600</v>
      </c>
      <c r="C193" s="13">
        <v>0.23475302584232899</v>
      </c>
      <c r="D193" s="11">
        <v>76425</v>
      </c>
      <c r="E193" s="9" t="s">
        <v>84</v>
      </c>
      <c r="F193" s="28">
        <v>55</v>
      </c>
      <c r="G193" s="38" t="s">
        <v>402</v>
      </c>
      <c r="H193" s="12">
        <v>0.08</v>
      </c>
      <c r="I193" s="12">
        <v>0.55000000000000004</v>
      </c>
      <c r="J193" s="11">
        <v>17941</v>
      </c>
      <c r="K193" s="11">
        <v>789.404</v>
      </c>
      <c r="L193" s="11">
        <v>65.520532000000003</v>
      </c>
    </row>
    <row r="194" spans="1:12" x14ac:dyDescent="0.3">
      <c r="A194" s="15" t="s">
        <v>268</v>
      </c>
      <c r="B194" s="29">
        <v>376</v>
      </c>
      <c r="C194" s="19">
        <v>0.42758485040540301</v>
      </c>
      <c r="D194" s="17">
        <v>45757</v>
      </c>
      <c r="E194" s="15" t="s">
        <v>95</v>
      </c>
      <c r="F194" s="29">
        <v>0</v>
      </c>
      <c r="G194" s="20" t="s">
        <v>405</v>
      </c>
      <c r="H194" s="18">
        <v>0.18</v>
      </c>
      <c r="I194" s="18">
        <v>0.65</v>
      </c>
      <c r="J194" s="17">
        <v>19565</v>
      </c>
      <c r="K194" s="17">
        <v>2289.105</v>
      </c>
      <c r="L194" s="17">
        <v>189.99571499999999</v>
      </c>
    </row>
    <row r="195" spans="1:12" ht="26.4" x14ac:dyDescent="0.3">
      <c r="A195" s="9" t="s">
        <v>269</v>
      </c>
      <c r="B195" s="28">
        <v>810</v>
      </c>
      <c r="C195" s="13">
        <v>0.21795186109228301</v>
      </c>
      <c r="D195" s="11">
        <v>69341</v>
      </c>
      <c r="E195" s="9" t="s">
        <v>84</v>
      </c>
      <c r="F195" s="28">
        <v>70</v>
      </c>
      <c r="G195" s="38" t="s">
        <v>402</v>
      </c>
      <c r="H195" s="12">
        <v>0.08</v>
      </c>
      <c r="I195" s="12">
        <v>0.55000000000000004</v>
      </c>
      <c r="J195" s="11">
        <v>15113</v>
      </c>
      <c r="K195" s="11">
        <v>664.97199999999998</v>
      </c>
      <c r="L195" s="11">
        <v>55.192675999999999</v>
      </c>
    </row>
    <row r="196" spans="1:12" x14ac:dyDescent="0.3">
      <c r="A196" s="15" t="s">
        <v>270</v>
      </c>
      <c r="B196" s="29">
        <v>529</v>
      </c>
      <c r="C196" s="19">
        <v>0.37270613763174198</v>
      </c>
      <c r="D196" s="17">
        <v>64520</v>
      </c>
      <c r="E196" s="15" t="s">
        <v>84</v>
      </c>
      <c r="F196" s="29">
        <v>5</v>
      </c>
      <c r="G196" s="20" t="s">
        <v>405</v>
      </c>
      <c r="H196" s="18">
        <v>0.18</v>
      </c>
      <c r="I196" s="18">
        <v>0.65</v>
      </c>
      <c r="J196" s="17">
        <v>24047</v>
      </c>
      <c r="K196" s="17">
        <v>2813.4989999999998</v>
      </c>
      <c r="L196" s="17">
        <v>233.52041700000001</v>
      </c>
    </row>
    <row r="197" spans="1:12" x14ac:dyDescent="0.3">
      <c r="A197" s="9" t="s">
        <v>271</v>
      </c>
      <c r="B197" s="28">
        <v>331</v>
      </c>
      <c r="C197" s="13">
        <v>0.44804335765800402</v>
      </c>
      <c r="D197" s="11">
        <v>46866</v>
      </c>
      <c r="E197" s="9" t="s">
        <v>79</v>
      </c>
      <c r="F197" s="28">
        <v>-40</v>
      </c>
      <c r="G197" s="14" t="s">
        <v>405</v>
      </c>
      <c r="H197" s="12">
        <v>0.18</v>
      </c>
      <c r="I197" s="12">
        <v>0.65</v>
      </c>
      <c r="J197" s="11">
        <v>20998</v>
      </c>
      <c r="K197" s="11">
        <v>2456.7660000000001</v>
      </c>
      <c r="L197" s="11">
        <v>203.91157799999999</v>
      </c>
    </row>
    <row r="198" spans="1:12" x14ac:dyDescent="0.3">
      <c r="A198" s="15" t="s">
        <v>272</v>
      </c>
      <c r="B198" s="29">
        <v>357</v>
      </c>
      <c r="C198" s="19">
        <v>0.20867829324450099</v>
      </c>
      <c r="D198" s="17">
        <v>81652</v>
      </c>
      <c r="E198" s="15" t="s">
        <v>84</v>
      </c>
      <c r="F198" s="29">
        <v>20</v>
      </c>
      <c r="G198" s="20" t="s">
        <v>405</v>
      </c>
      <c r="H198" s="18">
        <v>0.18</v>
      </c>
      <c r="I198" s="18">
        <v>0.65</v>
      </c>
      <c r="J198" s="17">
        <v>17039</v>
      </c>
      <c r="K198" s="17">
        <v>1993.5630000000001</v>
      </c>
      <c r="L198" s="17">
        <v>165.46572900000001</v>
      </c>
    </row>
    <row r="199" spans="1:12" x14ac:dyDescent="0.3">
      <c r="A199" s="9" t="s">
        <v>273</v>
      </c>
      <c r="B199" s="28">
        <v>403</v>
      </c>
      <c r="C199" s="13">
        <v>0.46549937069667602</v>
      </c>
      <c r="D199" s="11">
        <v>54028</v>
      </c>
      <c r="E199" s="9" t="s">
        <v>84</v>
      </c>
      <c r="F199" s="28">
        <v>-5</v>
      </c>
      <c r="G199" s="14" t="s">
        <v>405</v>
      </c>
      <c r="H199" s="12">
        <v>0.18</v>
      </c>
      <c r="I199" s="12">
        <v>0.65</v>
      </c>
      <c r="J199" s="11">
        <v>25150</v>
      </c>
      <c r="K199" s="11">
        <v>2942.55</v>
      </c>
      <c r="L199" s="11">
        <v>244.23165</v>
      </c>
    </row>
    <row r="200" spans="1:12" x14ac:dyDescent="0.3">
      <c r="A200" s="15" t="s">
        <v>274</v>
      </c>
      <c r="B200" s="29">
        <v>611</v>
      </c>
      <c r="C200" s="19">
        <v>0.33696953022903903</v>
      </c>
      <c r="D200" s="17">
        <v>72695</v>
      </c>
      <c r="E200" s="15" t="s">
        <v>79</v>
      </c>
      <c r="F200" s="29">
        <v>5</v>
      </c>
      <c r="G200" s="20" t="s">
        <v>405</v>
      </c>
      <c r="H200" s="18">
        <v>0.18</v>
      </c>
      <c r="I200" s="18">
        <v>0.65</v>
      </c>
      <c r="J200" s="17">
        <v>24496</v>
      </c>
      <c r="K200" s="17">
        <v>2866.0320000000002</v>
      </c>
      <c r="L200" s="17">
        <v>237.88065599999999</v>
      </c>
    </row>
    <row r="201" spans="1:12" x14ac:dyDescent="0.3">
      <c r="A201" s="9" t="s">
        <v>275</v>
      </c>
      <c r="B201" s="28">
        <v>366</v>
      </c>
      <c r="C201" s="13">
        <v>0.117972064440655</v>
      </c>
      <c r="D201" s="11">
        <v>70949</v>
      </c>
      <c r="E201" s="9" t="s">
        <v>79</v>
      </c>
      <c r="F201" s="28">
        <v>-15</v>
      </c>
      <c r="G201" s="14" t="s">
        <v>405</v>
      </c>
      <c r="H201" s="12">
        <v>0.18</v>
      </c>
      <c r="I201" s="12">
        <v>0.65</v>
      </c>
      <c r="J201" s="11">
        <v>8370</v>
      </c>
      <c r="K201" s="11">
        <v>979.29</v>
      </c>
      <c r="L201" s="11">
        <v>81.28107</v>
      </c>
    </row>
    <row r="202" spans="1:12" x14ac:dyDescent="0.3">
      <c r="A202" s="15" t="s">
        <v>276</v>
      </c>
      <c r="B202" s="29">
        <v>673</v>
      </c>
      <c r="C202" s="19">
        <v>0.35119174670935599</v>
      </c>
      <c r="D202" s="17">
        <v>56220</v>
      </c>
      <c r="E202" s="15" t="s">
        <v>84</v>
      </c>
      <c r="F202" s="29">
        <v>30</v>
      </c>
      <c r="G202" s="20" t="s">
        <v>405</v>
      </c>
      <c r="H202" s="18">
        <v>0.18</v>
      </c>
      <c r="I202" s="18">
        <v>0.65</v>
      </c>
      <c r="J202" s="17">
        <v>19744</v>
      </c>
      <c r="K202" s="17">
        <v>2310.0479999999998</v>
      </c>
      <c r="L202" s="17">
        <v>191.73398399999999</v>
      </c>
    </row>
    <row r="203" spans="1:12" x14ac:dyDescent="0.3">
      <c r="A203" s="9" t="s">
        <v>277</v>
      </c>
      <c r="B203" s="28">
        <v>534</v>
      </c>
      <c r="C203" s="13">
        <v>0.442685295509818</v>
      </c>
      <c r="D203" s="11">
        <v>61267</v>
      </c>
      <c r="E203" s="9" t="s">
        <v>95</v>
      </c>
      <c r="F203" s="28">
        <v>10</v>
      </c>
      <c r="G203" s="14" t="s">
        <v>405</v>
      </c>
      <c r="H203" s="12">
        <v>0.18</v>
      </c>
      <c r="I203" s="12">
        <v>0.65</v>
      </c>
      <c r="J203" s="11">
        <v>27122</v>
      </c>
      <c r="K203" s="11">
        <v>3173.2739999999999</v>
      </c>
      <c r="L203" s="11">
        <v>263.38174199999997</v>
      </c>
    </row>
    <row r="204" spans="1:12" x14ac:dyDescent="0.3">
      <c r="A204" s="15" t="s">
        <v>278</v>
      </c>
      <c r="B204" s="29">
        <v>411</v>
      </c>
      <c r="C204" s="19">
        <v>0.47943936254443198</v>
      </c>
      <c r="D204" s="17">
        <v>59361</v>
      </c>
      <c r="E204" s="15" t="s">
        <v>84</v>
      </c>
      <c r="F204" s="29">
        <v>-5</v>
      </c>
      <c r="G204" s="20" t="s">
        <v>405</v>
      </c>
      <c r="H204" s="18">
        <v>0.18</v>
      </c>
      <c r="I204" s="18">
        <v>0.65</v>
      </c>
      <c r="J204" s="17">
        <v>28460</v>
      </c>
      <c r="K204" s="17">
        <v>3329.82</v>
      </c>
      <c r="L204" s="17">
        <v>276.37506000000002</v>
      </c>
    </row>
    <row r="205" spans="1:12" x14ac:dyDescent="0.3">
      <c r="A205" s="9" t="s">
        <v>279</v>
      </c>
      <c r="B205" s="28">
        <v>688</v>
      </c>
      <c r="C205" s="13">
        <v>0.69944573029601698</v>
      </c>
      <c r="D205" s="11">
        <v>32836</v>
      </c>
      <c r="E205" s="9" t="s">
        <v>95</v>
      </c>
      <c r="F205" s="28">
        <v>5</v>
      </c>
      <c r="G205" s="14" t="s">
        <v>405</v>
      </c>
      <c r="H205" s="12">
        <v>0.18</v>
      </c>
      <c r="I205" s="12">
        <v>0.65</v>
      </c>
      <c r="J205" s="11">
        <v>22967</v>
      </c>
      <c r="K205" s="11">
        <v>2687.1390000000001</v>
      </c>
      <c r="L205" s="11">
        <v>223.03253699999999</v>
      </c>
    </row>
    <row r="206" spans="1:12" x14ac:dyDescent="0.3">
      <c r="A206" s="15" t="s">
        <v>280</v>
      </c>
      <c r="B206" s="29">
        <v>707</v>
      </c>
      <c r="C206" s="19">
        <v>0.35655439548555801</v>
      </c>
      <c r="D206" s="17">
        <v>50859</v>
      </c>
      <c r="E206" s="15" t="s">
        <v>95</v>
      </c>
      <c r="F206" s="29">
        <v>35</v>
      </c>
      <c r="G206" s="20" t="s">
        <v>405</v>
      </c>
      <c r="H206" s="18">
        <v>0.18</v>
      </c>
      <c r="I206" s="18">
        <v>0.65</v>
      </c>
      <c r="J206" s="17">
        <v>18134</v>
      </c>
      <c r="K206" s="17">
        <v>2121.6779999999999</v>
      </c>
      <c r="L206" s="17">
        <v>176.09927400000001</v>
      </c>
    </row>
    <row r="207" spans="1:12" x14ac:dyDescent="0.3">
      <c r="A207" s="9" t="s">
        <v>281</v>
      </c>
      <c r="B207" s="28">
        <v>579</v>
      </c>
      <c r="C207" s="13">
        <v>0.35349547750854599</v>
      </c>
      <c r="D207" s="11">
        <v>66114</v>
      </c>
      <c r="E207" s="9" t="s">
        <v>84</v>
      </c>
      <c r="F207" s="28">
        <v>5</v>
      </c>
      <c r="G207" s="14" t="s">
        <v>405</v>
      </c>
      <c r="H207" s="12">
        <v>0.18</v>
      </c>
      <c r="I207" s="12">
        <v>0.65</v>
      </c>
      <c r="J207" s="11">
        <v>23371</v>
      </c>
      <c r="K207" s="11">
        <v>2734.4070000000002</v>
      </c>
      <c r="L207" s="11">
        <v>226.955781</v>
      </c>
    </row>
    <row r="208" spans="1:12" x14ac:dyDescent="0.3">
      <c r="A208" s="15" t="s">
        <v>282</v>
      </c>
      <c r="B208" s="29">
        <v>538</v>
      </c>
      <c r="C208" s="19">
        <v>0.36302525619744003</v>
      </c>
      <c r="D208" s="17">
        <v>72893</v>
      </c>
      <c r="E208" s="15" t="s">
        <v>95</v>
      </c>
      <c r="F208" s="29">
        <v>10</v>
      </c>
      <c r="G208" s="20" t="s">
        <v>405</v>
      </c>
      <c r="H208" s="18">
        <v>0.18</v>
      </c>
      <c r="I208" s="18">
        <v>0.65</v>
      </c>
      <c r="J208" s="17">
        <v>26462</v>
      </c>
      <c r="K208" s="17">
        <v>3096.0540000000001</v>
      </c>
      <c r="L208" s="17">
        <v>256.97248200000001</v>
      </c>
    </row>
    <row r="209" spans="1:12" x14ac:dyDescent="0.3">
      <c r="A209" s="9" t="s">
        <v>283</v>
      </c>
      <c r="B209" s="28">
        <v>594</v>
      </c>
      <c r="C209" s="13">
        <v>0.53398826231181395</v>
      </c>
      <c r="D209" s="11">
        <v>39190</v>
      </c>
      <c r="E209" s="9" t="s">
        <v>84</v>
      </c>
      <c r="F209" s="28">
        <v>-5</v>
      </c>
      <c r="G209" s="14" t="s">
        <v>405</v>
      </c>
      <c r="H209" s="12">
        <v>0.18</v>
      </c>
      <c r="I209" s="12">
        <v>0.65</v>
      </c>
      <c r="J209" s="11">
        <v>20927</v>
      </c>
      <c r="K209" s="11">
        <v>2448.4589999999998</v>
      </c>
      <c r="L209" s="11">
        <v>203.22209699999999</v>
      </c>
    </row>
    <row r="210" spans="1:12" x14ac:dyDescent="0.3">
      <c r="A210" s="15" t="s">
        <v>284</v>
      </c>
      <c r="B210" s="29">
        <v>411</v>
      </c>
      <c r="C210" s="19">
        <v>0.44109683155512502</v>
      </c>
      <c r="D210" s="17">
        <v>49488</v>
      </c>
      <c r="E210" s="15" t="s">
        <v>95</v>
      </c>
      <c r="F210" s="29">
        <v>0</v>
      </c>
      <c r="G210" s="20" t="s">
        <v>405</v>
      </c>
      <c r="H210" s="18">
        <v>0.18</v>
      </c>
      <c r="I210" s="18">
        <v>0.65</v>
      </c>
      <c r="J210" s="17">
        <v>21829</v>
      </c>
      <c r="K210" s="17">
        <v>2553.9929999999999</v>
      </c>
      <c r="L210" s="17">
        <v>211.98141899999999</v>
      </c>
    </row>
    <row r="211" spans="1:12" x14ac:dyDescent="0.3">
      <c r="A211" s="9" t="s">
        <v>285</v>
      </c>
      <c r="B211" s="28">
        <v>387</v>
      </c>
      <c r="C211" s="13">
        <v>0.363764953119948</v>
      </c>
      <c r="D211" s="11">
        <v>49488</v>
      </c>
      <c r="E211" s="9" t="s">
        <v>95</v>
      </c>
      <c r="F211" s="28">
        <v>0</v>
      </c>
      <c r="G211" s="14" t="s">
        <v>405</v>
      </c>
      <c r="H211" s="12">
        <v>0.18</v>
      </c>
      <c r="I211" s="12">
        <v>0.65</v>
      </c>
      <c r="J211" s="11">
        <v>18002</v>
      </c>
      <c r="K211" s="11">
        <v>2106.2339999999999</v>
      </c>
      <c r="L211" s="11">
        <v>174.81742199999999</v>
      </c>
    </row>
    <row r="212" spans="1:12" ht="26.4" x14ac:dyDescent="0.3">
      <c r="A212" s="15" t="s">
        <v>286</v>
      </c>
      <c r="B212" s="29">
        <v>775</v>
      </c>
      <c r="C212" s="19">
        <v>0.19294244484989201</v>
      </c>
      <c r="D212" s="17">
        <v>48232</v>
      </c>
      <c r="E212" s="15" t="s">
        <v>84</v>
      </c>
      <c r="F212" s="29">
        <v>60</v>
      </c>
      <c r="G212" s="39" t="s">
        <v>402</v>
      </c>
      <c r="H212" s="18">
        <v>0.08</v>
      </c>
      <c r="I212" s="18">
        <v>0.55000000000000004</v>
      </c>
      <c r="J212" s="17">
        <v>9306</v>
      </c>
      <c r="K212" s="17">
        <v>409.464</v>
      </c>
      <c r="L212" s="17">
        <v>33.985512</v>
      </c>
    </row>
    <row r="213" spans="1:12" x14ac:dyDescent="0.3">
      <c r="A213" s="9" t="s">
        <v>287</v>
      </c>
      <c r="B213" s="28">
        <v>603</v>
      </c>
      <c r="C213" s="13">
        <v>0.33619443440549301</v>
      </c>
      <c r="D213" s="11">
        <v>55340</v>
      </c>
      <c r="E213" s="9" t="s">
        <v>79</v>
      </c>
      <c r="F213" s="28">
        <v>-5</v>
      </c>
      <c r="G213" s="14" t="s">
        <v>405</v>
      </c>
      <c r="H213" s="12">
        <v>0.18</v>
      </c>
      <c r="I213" s="12">
        <v>0.65</v>
      </c>
      <c r="J213" s="11">
        <v>18605</v>
      </c>
      <c r="K213" s="11">
        <v>2176.7849999999999</v>
      </c>
      <c r="L213" s="11">
        <v>180.67315500000001</v>
      </c>
    </row>
    <row r="214" spans="1:12" x14ac:dyDescent="0.3">
      <c r="A214" s="15" t="s">
        <v>288</v>
      </c>
      <c r="B214" s="29">
        <v>604</v>
      </c>
      <c r="C214" s="19">
        <v>0.29467749757516998</v>
      </c>
      <c r="D214" s="17">
        <v>49488</v>
      </c>
      <c r="E214" s="15" t="s">
        <v>79</v>
      </c>
      <c r="F214" s="29">
        <v>10</v>
      </c>
      <c r="G214" s="20" t="s">
        <v>405</v>
      </c>
      <c r="H214" s="18">
        <v>0.18</v>
      </c>
      <c r="I214" s="18">
        <v>0.65</v>
      </c>
      <c r="J214" s="17">
        <v>14583</v>
      </c>
      <c r="K214" s="17">
        <v>1706.211</v>
      </c>
      <c r="L214" s="17">
        <v>141.61551299999999</v>
      </c>
    </row>
    <row r="215" spans="1:12" x14ac:dyDescent="0.3">
      <c r="A215" s="9" t="s">
        <v>289</v>
      </c>
      <c r="B215" s="28">
        <v>589</v>
      </c>
      <c r="C215" s="13">
        <v>0.25135493195230602</v>
      </c>
      <c r="D215" s="11">
        <v>58121</v>
      </c>
      <c r="E215" s="9" t="s">
        <v>84</v>
      </c>
      <c r="F215" s="28">
        <v>10</v>
      </c>
      <c r="G215" s="14" t="s">
        <v>405</v>
      </c>
      <c r="H215" s="12">
        <v>0.18</v>
      </c>
      <c r="I215" s="12">
        <v>0.65</v>
      </c>
      <c r="J215" s="11">
        <v>14609</v>
      </c>
      <c r="K215" s="11">
        <v>1709.2529999999999</v>
      </c>
      <c r="L215" s="11">
        <v>141.867999</v>
      </c>
    </row>
    <row r="216" spans="1:12" x14ac:dyDescent="0.3">
      <c r="A216" s="15" t="s">
        <v>290</v>
      </c>
      <c r="B216" s="29">
        <v>507</v>
      </c>
      <c r="C216" s="19">
        <v>0.43937955491022801</v>
      </c>
      <c r="D216" s="17">
        <v>71626</v>
      </c>
      <c r="E216" s="15" t="s">
        <v>84</v>
      </c>
      <c r="F216" s="29">
        <v>5</v>
      </c>
      <c r="G216" s="20" t="s">
        <v>405</v>
      </c>
      <c r="H216" s="18">
        <v>0.18</v>
      </c>
      <c r="I216" s="18">
        <v>0.65</v>
      </c>
      <c r="J216" s="17">
        <v>31471</v>
      </c>
      <c r="K216" s="17">
        <v>3682.107</v>
      </c>
      <c r="L216" s="17">
        <v>305.61488100000003</v>
      </c>
    </row>
  </sheetData>
  <mergeCells count="4">
    <mergeCell ref="A2:N2"/>
    <mergeCell ref="A3:N3"/>
    <mergeCell ref="A5:G5"/>
    <mergeCell ref="A15:L15"/>
  </mergeCells>
  <pageMargins left="0.75" right="0.75" top="1" bottom="1" header="0.511811023622047" footer="0.511811023622047"/>
  <pageSetup paperSize="9" scale="73" fitToHeight="0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N221"/>
  <sheetViews>
    <sheetView showGridLines="0" zoomScale="85" zoomScaleNormal="85" workbookViewId="0">
      <pane ySplit="6" topLeftCell="A14" activePane="bottomLeft" state="frozen"/>
      <selection pane="bottomLeft" activeCell="A2" sqref="A2:N31"/>
    </sheetView>
  </sheetViews>
  <sheetFormatPr defaultColWidth="8.6640625" defaultRowHeight="14.4" x14ac:dyDescent="0.3"/>
  <cols>
    <col min="1" max="1" width="12" customWidth="1"/>
    <col min="2" max="2" width="14" customWidth="1"/>
    <col min="3" max="3" width="15.44140625" customWidth="1"/>
    <col min="4" max="4" width="10" customWidth="1"/>
    <col min="5" max="5" width="12.5546875" customWidth="1"/>
    <col min="6" max="6" width="17.109375" customWidth="1"/>
    <col min="7" max="8" width="12" customWidth="1"/>
    <col min="9" max="9" width="14" customWidth="1"/>
    <col min="10" max="11" width="12" customWidth="1"/>
  </cols>
  <sheetData>
    <row r="1" spans="1:14" ht="9.75" customHeight="1" x14ac:dyDescent="0.3"/>
    <row r="2" spans="1:14" ht="36" customHeight="1" x14ac:dyDescent="0.3">
      <c r="A2" s="102" t="s">
        <v>436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</row>
    <row r="3" spans="1:14" ht="19.5" customHeight="1" x14ac:dyDescent="0.3">
      <c r="A3" s="103" t="s">
        <v>437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</row>
    <row r="4" spans="1:14" ht="7.5" customHeight="1" x14ac:dyDescent="0.3"/>
    <row r="5" spans="1:14" ht="22.35" customHeight="1" x14ac:dyDescent="0.3">
      <c r="A5" s="110" t="s">
        <v>438</v>
      </c>
      <c r="B5" s="110"/>
      <c r="C5" s="110"/>
      <c r="D5" s="110"/>
      <c r="E5" s="110"/>
      <c r="F5" s="110"/>
      <c r="G5" s="110"/>
      <c r="H5" s="110"/>
    </row>
    <row r="6" spans="1:14" ht="21.75" customHeight="1" x14ac:dyDescent="0.3">
      <c r="A6" s="52" t="s">
        <v>439</v>
      </c>
      <c r="B6" s="52" t="s">
        <v>440</v>
      </c>
      <c r="C6" s="52" t="s">
        <v>441</v>
      </c>
      <c r="D6" s="52" t="s">
        <v>442</v>
      </c>
      <c r="E6" s="52" t="s">
        <v>443</v>
      </c>
      <c r="F6" s="52" t="s">
        <v>444</v>
      </c>
      <c r="G6" s="52" t="s">
        <v>445</v>
      </c>
    </row>
    <row r="7" spans="1:14" ht="52.8" x14ac:dyDescent="0.3">
      <c r="A7" s="53" t="s">
        <v>446</v>
      </c>
      <c r="B7" s="53" t="s">
        <v>447</v>
      </c>
      <c r="C7" s="53" t="s">
        <v>448</v>
      </c>
      <c r="D7" s="53" t="s">
        <v>449</v>
      </c>
      <c r="E7" s="53" t="s">
        <v>450</v>
      </c>
      <c r="F7" s="53" t="s">
        <v>451</v>
      </c>
      <c r="G7" s="30" t="s">
        <v>452</v>
      </c>
    </row>
    <row r="8" spans="1:14" ht="52.8" x14ac:dyDescent="0.3">
      <c r="A8" s="54" t="s">
        <v>453</v>
      </c>
      <c r="B8" s="54" t="s">
        <v>454</v>
      </c>
      <c r="C8" s="54" t="s">
        <v>455</v>
      </c>
      <c r="D8" s="54" t="s">
        <v>456</v>
      </c>
      <c r="E8" s="101">
        <v>0.55000000000000004</v>
      </c>
      <c r="F8" s="54" t="s">
        <v>457</v>
      </c>
      <c r="G8" s="33" t="s">
        <v>452</v>
      </c>
    </row>
    <row r="9" spans="1:14" ht="39.6" x14ac:dyDescent="0.3">
      <c r="A9" s="49" t="s">
        <v>458</v>
      </c>
      <c r="B9" s="49" t="s">
        <v>459</v>
      </c>
      <c r="C9" s="49" t="s">
        <v>455</v>
      </c>
      <c r="D9" s="49" t="s">
        <v>460</v>
      </c>
      <c r="E9" s="49" t="s">
        <v>461</v>
      </c>
      <c r="F9" s="49" t="s">
        <v>457</v>
      </c>
      <c r="G9" s="35" t="s">
        <v>452</v>
      </c>
    </row>
    <row r="12" spans="1:14" ht="15" customHeight="1" x14ac:dyDescent="0.3">
      <c r="A12" s="109" t="s">
        <v>462</v>
      </c>
      <c r="B12" s="109"/>
      <c r="C12" s="109"/>
      <c r="D12" s="109"/>
      <c r="E12" s="109"/>
      <c r="F12" s="109"/>
      <c r="G12" s="109"/>
      <c r="H12" s="109"/>
      <c r="I12" s="109"/>
    </row>
    <row r="13" spans="1:14" ht="21.75" customHeight="1" x14ac:dyDescent="0.3">
      <c r="A13" s="27" t="s">
        <v>393</v>
      </c>
      <c r="B13" s="27" t="s">
        <v>463</v>
      </c>
      <c r="C13" s="27" t="s">
        <v>464</v>
      </c>
      <c r="D13" s="27" t="s">
        <v>465</v>
      </c>
      <c r="E13" s="27" t="s">
        <v>466</v>
      </c>
      <c r="F13" s="27" t="s">
        <v>467</v>
      </c>
    </row>
    <row r="14" spans="1:14" x14ac:dyDescent="0.3">
      <c r="A14" s="53" t="s">
        <v>399</v>
      </c>
      <c r="B14" s="55">
        <v>2</v>
      </c>
      <c r="C14" s="56">
        <v>29283</v>
      </c>
      <c r="D14" s="57">
        <v>0.02</v>
      </c>
      <c r="E14" s="57">
        <v>0.4</v>
      </c>
      <c r="F14" s="56">
        <v>234.26400000000001</v>
      </c>
    </row>
    <row r="15" spans="1:14" ht="26.4" x14ac:dyDescent="0.3">
      <c r="A15" s="54" t="s">
        <v>402</v>
      </c>
      <c r="B15" s="58">
        <v>21</v>
      </c>
      <c r="C15" s="59">
        <v>318492</v>
      </c>
      <c r="D15" s="60">
        <v>0.08</v>
      </c>
      <c r="E15" s="60">
        <v>0.55000000000000004</v>
      </c>
      <c r="F15" s="59">
        <v>14013.647999999999</v>
      </c>
    </row>
    <row r="16" spans="1:14" x14ac:dyDescent="0.3">
      <c r="A16" s="49" t="s">
        <v>405</v>
      </c>
      <c r="B16" s="50">
        <v>177</v>
      </c>
      <c r="C16" s="61">
        <v>3402784</v>
      </c>
      <c r="D16" s="51">
        <v>0.18</v>
      </c>
      <c r="E16" s="51">
        <v>0.65</v>
      </c>
      <c r="F16" s="61">
        <v>398125.728</v>
      </c>
    </row>
    <row r="17" spans="1:11" ht="26.4" x14ac:dyDescent="0.3">
      <c r="A17" s="62" t="s">
        <v>468</v>
      </c>
      <c r="B17" s="63">
        <v>200</v>
      </c>
      <c r="C17" s="64">
        <v>3750559</v>
      </c>
      <c r="D17" s="62" t="s">
        <v>469</v>
      </c>
      <c r="E17" s="62" t="s">
        <v>469</v>
      </c>
      <c r="F17" s="64">
        <v>412373.64</v>
      </c>
    </row>
    <row r="20" spans="1:11" ht="15" customHeight="1" x14ac:dyDescent="0.3">
      <c r="A20" s="104" t="s">
        <v>470</v>
      </c>
      <c r="B20" s="104"/>
      <c r="C20" s="104"/>
      <c r="D20" s="104"/>
      <c r="E20" s="104"/>
      <c r="F20" s="104"/>
      <c r="G20" s="104"/>
      <c r="H20" s="104"/>
      <c r="I20" s="104"/>
      <c r="J20" s="104"/>
      <c r="K20" s="104"/>
    </row>
    <row r="21" spans="1:11" ht="21.75" customHeight="1" x14ac:dyDescent="0.3">
      <c r="A21" s="27" t="s">
        <v>61</v>
      </c>
      <c r="B21" s="27" t="s">
        <v>471</v>
      </c>
      <c r="C21" s="27" t="s">
        <v>393</v>
      </c>
      <c r="D21" s="27" t="s">
        <v>439</v>
      </c>
      <c r="E21" s="27" t="s">
        <v>472</v>
      </c>
      <c r="F21" s="27" t="s">
        <v>443</v>
      </c>
      <c r="G21" s="27" t="s">
        <v>473</v>
      </c>
      <c r="H21" s="27" t="s">
        <v>435</v>
      </c>
      <c r="I21" s="27" t="s">
        <v>474</v>
      </c>
      <c r="J21" s="27" t="s">
        <v>475</v>
      </c>
      <c r="K21" s="27" t="s">
        <v>476</v>
      </c>
    </row>
    <row r="22" spans="1:11" x14ac:dyDescent="0.3">
      <c r="A22" s="9" t="s">
        <v>75</v>
      </c>
      <c r="B22" s="11">
        <v>31258</v>
      </c>
      <c r="C22" s="14" t="s">
        <v>405</v>
      </c>
      <c r="D22" s="9" t="s">
        <v>458</v>
      </c>
      <c r="E22" s="12">
        <v>0.18</v>
      </c>
      <c r="F22" s="12">
        <v>0.65</v>
      </c>
      <c r="G22" s="11">
        <v>3657.1860000000001</v>
      </c>
      <c r="H22" s="11">
        <v>303.54643800000002</v>
      </c>
      <c r="I22" s="11">
        <v>7314.3720000000003</v>
      </c>
      <c r="J22" s="14" t="s">
        <v>477</v>
      </c>
      <c r="K22" s="12">
        <v>0.11700000000000001</v>
      </c>
    </row>
    <row r="23" spans="1:11" x14ac:dyDescent="0.3">
      <c r="A23" s="15" t="s">
        <v>81</v>
      </c>
      <c r="B23" s="17">
        <v>23262</v>
      </c>
      <c r="C23" s="20" t="s">
        <v>405</v>
      </c>
      <c r="D23" s="15" t="s">
        <v>458</v>
      </c>
      <c r="E23" s="18">
        <v>0.18</v>
      </c>
      <c r="F23" s="18">
        <v>0.65</v>
      </c>
      <c r="G23" s="17">
        <v>2721.654</v>
      </c>
      <c r="H23" s="17">
        <v>225.89728199999999</v>
      </c>
      <c r="I23" s="17">
        <v>5443.308</v>
      </c>
      <c r="J23" s="20" t="s">
        <v>477</v>
      </c>
      <c r="K23" s="18">
        <v>0.11700000000000001</v>
      </c>
    </row>
    <row r="24" spans="1:11" x14ac:dyDescent="0.3">
      <c r="A24" s="9" t="s">
        <v>85</v>
      </c>
      <c r="B24" s="11">
        <v>26530</v>
      </c>
      <c r="C24" s="38" t="s">
        <v>402</v>
      </c>
      <c r="D24" s="9" t="s">
        <v>453</v>
      </c>
      <c r="E24" s="12">
        <v>0.08</v>
      </c>
      <c r="F24" s="12">
        <v>0.55000000000000004</v>
      </c>
      <c r="G24" s="11">
        <v>1167.32</v>
      </c>
      <c r="H24" s="11">
        <v>96.887559999999993</v>
      </c>
      <c r="I24" s="11">
        <v>1167.32</v>
      </c>
      <c r="J24" s="65" t="s">
        <v>478</v>
      </c>
      <c r="K24" s="12">
        <v>4.3999999999999997E-2</v>
      </c>
    </row>
    <row r="25" spans="1:11" x14ac:dyDescent="0.3">
      <c r="A25" s="15" t="s">
        <v>88</v>
      </c>
      <c r="B25" s="17">
        <v>11531</v>
      </c>
      <c r="C25" s="20" t="s">
        <v>405</v>
      </c>
      <c r="D25" s="15" t="s">
        <v>458</v>
      </c>
      <c r="E25" s="18">
        <v>0.18</v>
      </c>
      <c r="F25" s="18">
        <v>0.65</v>
      </c>
      <c r="G25" s="17">
        <v>1349.127</v>
      </c>
      <c r="H25" s="17">
        <v>111.977541</v>
      </c>
      <c r="I25" s="17">
        <v>2698.2539999999999</v>
      </c>
      <c r="J25" s="20" t="s">
        <v>477</v>
      </c>
      <c r="K25" s="18">
        <v>0.11700000000000001</v>
      </c>
    </row>
    <row r="26" spans="1:11" x14ac:dyDescent="0.3">
      <c r="A26" s="9" t="s">
        <v>91</v>
      </c>
      <c r="B26" s="11">
        <v>27871</v>
      </c>
      <c r="C26" s="14" t="s">
        <v>405</v>
      </c>
      <c r="D26" s="9" t="s">
        <v>458</v>
      </c>
      <c r="E26" s="12">
        <v>0.18</v>
      </c>
      <c r="F26" s="12">
        <v>0.65</v>
      </c>
      <c r="G26" s="11">
        <v>3260.9070000000002</v>
      </c>
      <c r="H26" s="11">
        <v>270.655281</v>
      </c>
      <c r="I26" s="11">
        <v>6521.8140000000003</v>
      </c>
      <c r="J26" s="14" t="s">
        <v>477</v>
      </c>
      <c r="K26" s="12">
        <v>0.11700000000000001</v>
      </c>
    </row>
    <row r="27" spans="1:11" x14ac:dyDescent="0.3">
      <c r="A27" s="15" t="s">
        <v>93</v>
      </c>
      <c r="B27" s="17">
        <v>18106</v>
      </c>
      <c r="C27" s="39" t="s">
        <v>402</v>
      </c>
      <c r="D27" s="15" t="s">
        <v>453</v>
      </c>
      <c r="E27" s="18">
        <v>0.08</v>
      </c>
      <c r="F27" s="18">
        <v>0.55000000000000004</v>
      </c>
      <c r="G27" s="17">
        <v>796.66399999999999</v>
      </c>
      <c r="H27" s="17">
        <v>66.123112000000006</v>
      </c>
      <c r="I27" s="17">
        <v>796.66399999999999</v>
      </c>
      <c r="J27" s="66" t="s">
        <v>478</v>
      </c>
      <c r="K27" s="18">
        <v>4.3999999999999997E-2</v>
      </c>
    </row>
    <row r="28" spans="1:11" x14ac:dyDescent="0.3">
      <c r="A28" s="9" t="s">
        <v>96</v>
      </c>
      <c r="B28" s="11">
        <v>25374</v>
      </c>
      <c r="C28" s="38" t="s">
        <v>402</v>
      </c>
      <c r="D28" s="9" t="s">
        <v>453</v>
      </c>
      <c r="E28" s="12">
        <v>0.08</v>
      </c>
      <c r="F28" s="12">
        <v>0.55000000000000004</v>
      </c>
      <c r="G28" s="11">
        <v>1116.4559999999999</v>
      </c>
      <c r="H28" s="11">
        <v>92.665847999999997</v>
      </c>
      <c r="I28" s="11">
        <v>1116.4559999999999</v>
      </c>
      <c r="J28" s="65" t="s">
        <v>478</v>
      </c>
      <c r="K28" s="12">
        <v>4.3999999999999997E-2</v>
      </c>
    </row>
    <row r="29" spans="1:11" x14ac:dyDescent="0.3">
      <c r="A29" s="15" t="s">
        <v>97</v>
      </c>
      <c r="B29" s="17">
        <v>6279</v>
      </c>
      <c r="C29" s="20" t="s">
        <v>405</v>
      </c>
      <c r="D29" s="15" t="s">
        <v>458</v>
      </c>
      <c r="E29" s="18">
        <v>0.18</v>
      </c>
      <c r="F29" s="18">
        <v>0.65</v>
      </c>
      <c r="G29" s="17">
        <v>734.64300000000003</v>
      </c>
      <c r="H29" s="17">
        <v>60.975369000000001</v>
      </c>
      <c r="I29" s="17">
        <v>1469.2860000000001</v>
      </c>
      <c r="J29" s="20" t="s">
        <v>477</v>
      </c>
      <c r="K29" s="18">
        <v>0.11700000000000001</v>
      </c>
    </row>
    <row r="30" spans="1:11" x14ac:dyDescent="0.3">
      <c r="A30" s="9" t="s">
        <v>98</v>
      </c>
      <c r="B30" s="11">
        <v>25041</v>
      </c>
      <c r="C30" s="14" t="s">
        <v>405</v>
      </c>
      <c r="D30" s="9" t="s">
        <v>458</v>
      </c>
      <c r="E30" s="12">
        <v>0.18</v>
      </c>
      <c r="F30" s="12">
        <v>0.65</v>
      </c>
      <c r="G30" s="11">
        <v>2929.797</v>
      </c>
      <c r="H30" s="11">
        <v>243.17315099999999</v>
      </c>
      <c r="I30" s="11">
        <v>5859.5940000000001</v>
      </c>
      <c r="J30" s="14" t="s">
        <v>477</v>
      </c>
      <c r="K30" s="12">
        <v>0.11700000000000001</v>
      </c>
    </row>
    <row r="31" spans="1:11" x14ac:dyDescent="0.3">
      <c r="A31" s="15" t="s">
        <v>100</v>
      </c>
      <c r="B31" s="17">
        <v>2065</v>
      </c>
      <c r="C31" s="20" t="s">
        <v>405</v>
      </c>
      <c r="D31" s="15" t="s">
        <v>458</v>
      </c>
      <c r="E31" s="18">
        <v>0.18</v>
      </c>
      <c r="F31" s="18">
        <v>0.65</v>
      </c>
      <c r="G31" s="17">
        <v>241.60499999999999</v>
      </c>
      <c r="H31" s="17">
        <v>20.053215000000002</v>
      </c>
      <c r="I31" s="17">
        <v>483.21</v>
      </c>
      <c r="J31" s="20" t="s">
        <v>477</v>
      </c>
      <c r="K31" s="18">
        <v>0.11700000000000001</v>
      </c>
    </row>
    <row r="32" spans="1:11" x14ac:dyDescent="0.3">
      <c r="A32" s="9" t="s">
        <v>101</v>
      </c>
      <c r="B32" s="11">
        <v>17793</v>
      </c>
      <c r="C32" s="14" t="s">
        <v>405</v>
      </c>
      <c r="D32" s="9" t="s">
        <v>458</v>
      </c>
      <c r="E32" s="12">
        <v>0.18</v>
      </c>
      <c r="F32" s="12">
        <v>0.65</v>
      </c>
      <c r="G32" s="11">
        <v>2081.7809999999999</v>
      </c>
      <c r="H32" s="11">
        <v>172.787823</v>
      </c>
      <c r="I32" s="11">
        <v>4163.5619999999999</v>
      </c>
      <c r="J32" s="14" t="s">
        <v>477</v>
      </c>
      <c r="K32" s="12">
        <v>0.11700000000000001</v>
      </c>
    </row>
    <row r="33" spans="1:11" x14ac:dyDescent="0.3">
      <c r="A33" s="15" t="s">
        <v>102</v>
      </c>
      <c r="B33" s="17">
        <v>6356</v>
      </c>
      <c r="C33" s="20" t="s">
        <v>405</v>
      </c>
      <c r="D33" s="15" t="s">
        <v>458</v>
      </c>
      <c r="E33" s="18">
        <v>0.18</v>
      </c>
      <c r="F33" s="18">
        <v>0.65</v>
      </c>
      <c r="G33" s="17">
        <v>743.65200000000004</v>
      </c>
      <c r="H33" s="17">
        <v>61.723115999999997</v>
      </c>
      <c r="I33" s="17">
        <v>1487.3040000000001</v>
      </c>
      <c r="J33" s="20" t="s">
        <v>477</v>
      </c>
      <c r="K33" s="18">
        <v>0.11700000000000001</v>
      </c>
    </row>
    <row r="34" spans="1:11" x14ac:dyDescent="0.3">
      <c r="A34" s="9" t="s">
        <v>103</v>
      </c>
      <c r="B34" s="11">
        <v>25064</v>
      </c>
      <c r="C34" s="14" t="s">
        <v>405</v>
      </c>
      <c r="D34" s="9" t="s">
        <v>458</v>
      </c>
      <c r="E34" s="12">
        <v>0.18</v>
      </c>
      <c r="F34" s="12">
        <v>0.65</v>
      </c>
      <c r="G34" s="11">
        <v>2932.4879999999998</v>
      </c>
      <c r="H34" s="11">
        <v>243.39650399999999</v>
      </c>
      <c r="I34" s="11">
        <v>5864.9759999999997</v>
      </c>
      <c r="J34" s="14" t="s">
        <v>477</v>
      </c>
      <c r="K34" s="12">
        <v>0.11700000000000001</v>
      </c>
    </row>
    <row r="35" spans="1:11" x14ac:dyDescent="0.3">
      <c r="A35" s="15" t="s">
        <v>104</v>
      </c>
      <c r="B35" s="17">
        <v>20554</v>
      </c>
      <c r="C35" s="20" t="s">
        <v>405</v>
      </c>
      <c r="D35" s="15" t="s">
        <v>458</v>
      </c>
      <c r="E35" s="18">
        <v>0.18</v>
      </c>
      <c r="F35" s="18">
        <v>0.65</v>
      </c>
      <c r="G35" s="17">
        <v>2404.8180000000002</v>
      </c>
      <c r="H35" s="17">
        <v>199.59989400000001</v>
      </c>
      <c r="I35" s="17">
        <v>4809.6360000000004</v>
      </c>
      <c r="J35" s="20" t="s">
        <v>477</v>
      </c>
      <c r="K35" s="18">
        <v>0.11700000000000001</v>
      </c>
    </row>
    <row r="36" spans="1:11" x14ac:dyDescent="0.3">
      <c r="A36" s="9" t="s">
        <v>105</v>
      </c>
      <c r="B36" s="11">
        <v>13834</v>
      </c>
      <c r="C36" s="38" t="s">
        <v>402</v>
      </c>
      <c r="D36" s="9" t="s">
        <v>453</v>
      </c>
      <c r="E36" s="12">
        <v>0.08</v>
      </c>
      <c r="F36" s="12">
        <v>0.55000000000000004</v>
      </c>
      <c r="G36" s="11">
        <v>608.69600000000003</v>
      </c>
      <c r="H36" s="11">
        <v>50.521768000000002</v>
      </c>
      <c r="I36" s="11">
        <v>608.69600000000003</v>
      </c>
      <c r="J36" s="65" t="s">
        <v>478</v>
      </c>
      <c r="K36" s="12">
        <v>4.3999999999999997E-2</v>
      </c>
    </row>
    <row r="37" spans="1:11" x14ac:dyDescent="0.3">
      <c r="A37" s="15" t="s">
        <v>106</v>
      </c>
      <c r="B37" s="17">
        <v>31475</v>
      </c>
      <c r="C37" s="20" t="s">
        <v>405</v>
      </c>
      <c r="D37" s="15" t="s">
        <v>458</v>
      </c>
      <c r="E37" s="18">
        <v>0.18</v>
      </c>
      <c r="F37" s="18">
        <v>0.65</v>
      </c>
      <c r="G37" s="17">
        <v>3682.5749999999998</v>
      </c>
      <c r="H37" s="17">
        <v>305.65372500000001</v>
      </c>
      <c r="I37" s="17">
        <v>7365.15</v>
      </c>
      <c r="J37" s="20" t="s">
        <v>477</v>
      </c>
      <c r="K37" s="18">
        <v>0.11700000000000001</v>
      </c>
    </row>
    <row r="38" spans="1:11" x14ac:dyDescent="0.3">
      <c r="A38" s="9" t="s">
        <v>107</v>
      </c>
      <c r="B38" s="11">
        <v>12827</v>
      </c>
      <c r="C38" s="14" t="s">
        <v>405</v>
      </c>
      <c r="D38" s="9" t="s">
        <v>458</v>
      </c>
      <c r="E38" s="12">
        <v>0.18</v>
      </c>
      <c r="F38" s="12">
        <v>0.65</v>
      </c>
      <c r="G38" s="11">
        <v>1500.759</v>
      </c>
      <c r="H38" s="11">
        <v>124.562997</v>
      </c>
      <c r="I38" s="11">
        <v>3001.518</v>
      </c>
      <c r="J38" s="14" t="s">
        <v>477</v>
      </c>
      <c r="K38" s="12">
        <v>0.11700000000000001</v>
      </c>
    </row>
    <row r="39" spans="1:11" x14ac:dyDescent="0.3">
      <c r="A39" s="15" t="s">
        <v>108</v>
      </c>
      <c r="B39" s="17">
        <v>-4250</v>
      </c>
      <c r="C39" s="20" t="s">
        <v>405</v>
      </c>
      <c r="D39" s="15" t="s">
        <v>458</v>
      </c>
      <c r="E39" s="18">
        <v>0.18</v>
      </c>
      <c r="F39" s="18">
        <v>0.65</v>
      </c>
      <c r="G39" s="17">
        <v>-497.25</v>
      </c>
      <c r="H39" s="17">
        <v>-41.271749999999997</v>
      </c>
      <c r="I39" s="17">
        <v>-994.5</v>
      </c>
      <c r="J39" s="20" t="s">
        <v>477</v>
      </c>
      <c r="K39" s="18">
        <v>0</v>
      </c>
    </row>
    <row r="40" spans="1:11" x14ac:dyDescent="0.3">
      <c r="A40" s="9" t="s">
        <v>109</v>
      </c>
      <c r="B40" s="11">
        <v>24109</v>
      </c>
      <c r="C40" s="14" t="s">
        <v>405</v>
      </c>
      <c r="D40" s="9" t="s">
        <v>458</v>
      </c>
      <c r="E40" s="12">
        <v>0.18</v>
      </c>
      <c r="F40" s="12">
        <v>0.65</v>
      </c>
      <c r="G40" s="11">
        <v>2820.7530000000002</v>
      </c>
      <c r="H40" s="11">
        <v>234.122499</v>
      </c>
      <c r="I40" s="11">
        <v>5641.5060000000003</v>
      </c>
      <c r="J40" s="14" t="s">
        <v>477</v>
      </c>
      <c r="K40" s="12">
        <v>0.11700000000000001</v>
      </c>
    </row>
    <row r="41" spans="1:11" x14ac:dyDescent="0.3">
      <c r="A41" s="15" t="s">
        <v>110</v>
      </c>
      <c r="B41" s="17">
        <v>5867</v>
      </c>
      <c r="C41" s="20" t="s">
        <v>405</v>
      </c>
      <c r="D41" s="15" t="s">
        <v>458</v>
      </c>
      <c r="E41" s="18">
        <v>0.18</v>
      </c>
      <c r="F41" s="18">
        <v>0.65</v>
      </c>
      <c r="G41" s="17">
        <v>686.43899999999996</v>
      </c>
      <c r="H41" s="17">
        <v>56.974437000000002</v>
      </c>
      <c r="I41" s="17">
        <v>1372.8779999999999</v>
      </c>
      <c r="J41" s="20" t="s">
        <v>477</v>
      </c>
      <c r="K41" s="18">
        <v>0.11700000000000001</v>
      </c>
    </row>
    <row r="42" spans="1:11" x14ac:dyDescent="0.3">
      <c r="A42" s="9" t="s">
        <v>111</v>
      </c>
      <c r="B42" s="11">
        <v>13080</v>
      </c>
      <c r="C42" s="14" t="s">
        <v>405</v>
      </c>
      <c r="D42" s="9" t="s">
        <v>458</v>
      </c>
      <c r="E42" s="12">
        <v>0.18</v>
      </c>
      <c r="F42" s="12">
        <v>0.65</v>
      </c>
      <c r="G42" s="11">
        <v>1530.36</v>
      </c>
      <c r="H42" s="11">
        <v>127.01988</v>
      </c>
      <c r="I42" s="11">
        <v>3060.72</v>
      </c>
      <c r="J42" s="14" t="s">
        <v>477</v>
      </c>
      <c r="K42" s="12">
        <v>0.11700000000000001</v>
      </c>
    </row>
    <row r="43" spans="1:11" x14ac:dyDescent="0.3">
      <c r="A43" s="15" t="s">
        <v>112</v>
      </c>
      <c r="B43" s="17">
        <v>15861</v>
      </c>
      <c r="C43" s="20" t="s">
        <v>405</v>
      </c>
      <c r="D43" s="15" t="s">
        <v>458</v>
      </c>
      <c r="E43" s="18">
        <v>0.18</v>
      </c>
      <c r="F43" s="18">
        <v>0.65</v>
      </c>
      <c r="G43" s="17">
        <v>1855.7370000000001</v>
      </c>
      <c r="H43" s="17">
        <v>154.02617100000001</v>
      </c>
      <c r="I43" s="17">
        <v>3711.4740000000002</v>
      </c>
      <c r="J43" s="20" t="s">
        <v>477</v>
      </c>
      <c r="K43" s="18">
        <v>0.11700000000000001</v>
      </c>
    </row>
    <row r="44" spans="1:11" x14ac:dyDescent="0.3">
      <c r="A44" s="9" t="s">
        <v>113</v>
      </c>
      <c r="B44" s="11">
        <v>8608</v>
      </c>
      <c r="C44" s="14" t="s">
        <v>405</v>
      </c>
      <c r="D44" s="9" t="s">
        <v>458</v>
      </c>
      <c r="E44" s="12">
        <v>0.18</v>
      </c>
      <c r="F44" s="12">
        <v>0.65</v>
      </c>
      <c r="G44" s="11">
        <v>1007.136</v>
      </c>
      <c r="H44" s="11">
        <v>83.592287999999996</v>
      </c>
      <c r="I44" s="11">
        <v>2014.2719999999999</v>
      </c>
      <c r="J44" s="14" t="s">
        <v>477</v>
      </c>
      <c r="K44" s="12">
        <v>0.11700000000000001</v>
      </c>
    </row>
    <row r="45" spans="1:11" x14ac:dyDescent="0.3">
      <c r="A45" s="15" t="s">
        <v>114</v>
      </c>
      <c r="B45" s="17">
        <v>16050</v>
      </c>
      <c r="C45" s="20" t="s">
        <v>405</v>
      </c>
      <c r="D45" s="15" t="s">
        <v>458</v>
      </c>
      <c r="E45" s="18">
        <v>0.18</v>
      </c>
      <c r="F45" s="18">
        <v>0.65</v>
      </c>
      <c r="G45" s="17">
        <v>1877.85</v>
      </c>
      <c r="H45" s="17">
        <v>155.86154999999999</v>
      </c>
      <c r="I45" s="17">
        <v>3755.7</v>
      </c>
      <c r="J45" s="20" t="s">
        <v>477</v>
      </c>
      <c r="K45" s="18">
        <v>0.11700000000000001</v>
      </c>
    </row>
    <row r="46" spans="1:11" x14ac:dyDescent="0.3">
      <c r="A46" s="9" t="s">
        <v>115</v>
      </c>
      <c r="B46" s="11">
        <v>8758</v>
      </c>
      <c r="C46" s="38" t="s">
        <v>402</v>
      </c>
      <c r="D46" s="9" t="s">
        <v>453</v>
      </c>
      <c r="E46" s="12">
        <v>0.08</v>
      </c>
      <c r="F46" s="12">
        <v>0.55000000000000004</v>
      </c>
      <c r="G46" s="11">
        <v>385.35199999999998</v>
      </c>
      <c r="H46" s="11">
        <v>31.984216</v>
      </c>
      <c r="I46" s="11">
        <v>385.35199999999998</v>
      </c>
      <c r="J46" s="65" t="s">
        <v>478</v>
      </c>
      <c r="K46" s="12">
        <v>4.3999999999999997E-2</v>
      </c>
    </row>
    <row r="47" spans="1:11" x14ac:dyDescent="0.3">
      <c r="A47" s="15" t="s">
        <v>116</v>
      </c>
      <c r="B47" s="17">
        <v>21299</v>
      </c>
      <c r="C47" s="20" t="s">
        <v>405</v>
      </c>
      <c r="D47" s="15" t="s">
        <v>458</v>
      </c>
      <c r="E47" s="18">
        <v>0.18</v>
      </c>
      <c r="F47" s="18">
        <v>0.65</v>
      </c>
      <c r="G47" s="17">
        <v>2491.9830000000002</v>
      </c>
      <c r="H47" s="17">
        <v>206.83458899999999</v>
      </c>
      <c r="I47" s="17">
        <v>4983.9660000000003</v>
      </c>
      <c r="J47" s="20" t="s">
        <v>477</v>
      </c>
      <c r="K47" s="18">
        <v>0.11700000000000001</v>
      </c>
    </row>
    <row r="48" spans="1:11" x14ac:dyDescent="0.3">
      <c r="A48" s="9" t="s">
        <v>117</v>
      </c>
      <c r="B48" s="11">
        <v>10170</v>
      </c>
      <c r="C48" s="14" t="s">
        <v>405</v>
      </c>
      <c r="D48" s="9" t="s">
        <v>458</v>
      </c>
      <c r="E48" s="12">
        <v>0.18</v>
      </c>
      <c r="F48" s="12">
        <v>0.65</v>
      </c>
      <c r="G48" s="11">
        <v>1189.8900000000001</v>
      </c>
      <c r="H48" s="11">
        <v>98.760869999999997</v>
      </c>
      <c r="I48" s="11">
        <v>2379.7800000000002</v>
      </c>
      <c r="J48" s="14" t="s">
        <v>477</v>
      </c>
      <c r="K48" s="12">
        <v>0.11700000000000001</v>
      </c>
    </row>
    <row r="49" spans="1:11" x14ac:dyDescent="0.3">
      <c r="A49" s="15" t="s">
        <v>118</v>
      </c>
      <c r="B49" s="17">
        <v>20241</v>
      </c>
      <c r="C49" s="20" t="s">
        <v>405</v>
      </c>
      <c r="D49" s="15" t="s">
        <v>458</v>
      </c>
      <c r="E49" s="18">
        <v>0.18</v>
      </c>
      <c r="F49" s="18">
        <v>0.65</v>
      </c>
      <c r="G49" s="17">
        <v>2368.1970000000001</v>
      </c>
      <c r="H49" s="17">
        <v>196.560351</v>
      </c>
      <c r="I49" s="17">
        <v>4736.3940000000002</v>
      </c>
      <c r="J49" s="20" t="s">
        <v>477</v>
      </c>
      <c r="K49" s="18">
        <v>0.11700000000000001</v>
      </c>
    </row>
    <row r="50" spans="1:11" x14ac:dyDescent="0.3">
      <c r="A50" s="9" t="s">
        <v>119</v>
      </c>
      <c r="B50" s="11">
        <v>29296</v>
      </c>
      <c r="C50" s="14" t="s">
        <v>405</v>
      </c>
      <c r="D50" s="9" t="s">
        <v>458</v>
      </c>
      <c r="E50" s="12">
        <v>0.18</v>
      </c>
      <c r="F50" s="12">
        <v>0.65</v>
      </c>
      <c r="G50" s="11">
        <v>3427.6320000000001</v>
      </c>
      <c r="H50" s="11">
        <v>284.49345599999998</v>
      </c>
      <c r="I50" s="11">
        <v>6855.2640000000001</v>
      </c>
      <c r="J50" s="14" t="s">
        <v>477</v>
      </c>
      <c r="K50" s="12">
        <v>0.11700000000000001</v>
      </c>
    </row>
    <row r="51" spans="1:11" x14ac:dyDescent="0.3">
      <c r="A51" s="15" t="s">
        <v>120</v>
      </c>
      <c r="B51" s="17">
        <v>26259</v>
      </c>
      <c r="C51" s="20" t="s">
        <v>405</v>
      </c>
      <c r="D51" s="15" t="s">
        <v>458</v>
      </c>
      <c r="E51" s="18">
        <v>0.18</v>
      </c>
      <c r="F51" s="18">
        <v>0.65</v>
      </c>
      <c r="G51" s="17">
        <v>3072.3029999999999</v>
      </c>
      <c r="H51" s="17">
        <v>255.001149</v>
      </c>
      <c r="I51" s="17">
        <v>6144.6059999999998</v>
      </c>
      <c r="J51" s="20" t="s">
        <v>477</v>
      </c>
      <c r="K51" s="18">
        <v>0.11700000000000001</v>
      </c>
    </row>
    <row r="52" spans="1:11" x14ac:dyDescent="0.3">
      <c r="A52" s="9" t="s">
        <v>121</v>
      </c>
      <c r="B52" s="11">
        <v>19346</v>
      </c>
      <c r="C52" s="14" t="s">
        <v>405</v>
      </c>
      <c r="D52" s="9" t="s">
        <v>458</v>
      </c>
      <c r="E52" s="12">
        <v>0.18</v>
      </c>
      <c r="F52" s="12">
        <v>0.65</v>
      </c>
      <c r="G52" s="11">
        <v>2263.482</v>
      </c>
      <c r="H52" s="11">
        <v>187.86900600000001</v>
      </c>
      <c r="I52" s="11">
        <v>4526.9639999999999</v>
      </c>
      <c r="J52" s="14" t="s">
        <v>477</v>
      </c>
      <c r="K52" s="12">
        <v>0.11700000000000001</v>
      </c>
    </row>
    <row r="53" spans="1:11" x14ac:dyDescent="0.3">
      <c r="A53" s="15" t="s">
        <v>122</v>
      </c>
      <c r="B53" s="17">
        <v>12090</v>
      </c>
      <c r="C53" s="20" t="s">
        <v>405</v>
      </c>
      <c r="D53" s="15" t="s">
        <v>458</v>
      </c>
      <c r="E53" s="18">
        <v>0.18</v>
      </c>
      <c r="F53" s="18">
        <v>0.65</v>
      </c>
      <c r="G53" s="17">
        <v>1414.53</v>
      </c>
      <c r="H53" s="17">
        <v>117.40599</v>
      </c>
      <c r="I53" s="17">
        <v>2829.06</v>
      </c>
      <c r="J53" s="20" t="s">
        <v>477</v>
      </c>
      <c r="K53" s="18">
        <v>0.11700000000000001</v>
      </c>
    </row>
    <row r="54" spans="1:11" x14ac:dyDescent="0.3">
      <c r="A54" s="9" t="s">
        <v>123</v>
      </c>
      <c r="B54" s="11">
        <v>21273</v>
      </c>
      <c r="C54" s="14" t="s">
        <v>405</v>
      </c>
      <c r="D54" s="9" t="s">
        <v>458</v>
      </c>
      <c r="E54" s="12">
        <v>0.18</v>
      </c>
      <c r="F54" s="12">
        <v>0.65</v>
      </c>
      <c r="G54" s="11">
        <v>2488.9409999999998</v>
      </c>
      <c r="H54" s="11">
        <v>206.58210299999999</v>
      </c>
      <c r="I54" s="11">
        <v>4977.8819999999996</v>
      </c>
      <c r="J54" s="14" t="s">
        <v>477</v>
      </c>
      <c r="K54" s="12">
        <v>0.11700000000000001</v>
      </c>
    </row>
    <row r="55" spans="1:11" x14ac:dyDescent="0.3">
      <c r="A55" s="15" t="s">
        <v>124</v>
      </c>
      <c r="B55" s="17">
        <v>14434</v>
      </c>
      <c r="C55" s="20" t="s">
        <v>405</v>
      </c>
      <c r="D55" s="15" t="s">
        <v>458</v>
      </c>
      <c r="E55" s="18">
        <v>0.18</v>
      </c>
      <c r="F55" s="18">
        <v>0.65</v>
      </c>
      <c r="G55" s="17">
        <v>1688.778</v>
      </c>
      <c r="H55" s="17">
        <v>140.16857400000001</v>
      </c>
      <c r="I55" s="17">
        <v>3377.556</v>
      </c>
      <c r="J55" s="20" t="s">
        <v>477</v>
      </c>
      <c r="K55" s="18">
        <v>0.11700000000000001</v>
      </c>
    </row>
    <row r="56" spans="1:11" x14ac:dyDescent="0.3">
      <c r="A56" s="9" t="s">
        <v>125</v>
      </c>
      <c r="B56" s="11">
        <v>21609</v>
      </c>
      <c r="C56" s="14" t="s">
        <v>405</v>
      </c>
      <c r="D56" s="9" t="s">
        <v>458</v>
      </c>
      <c r="E56" s="12">
        <v>0.18</v>
      </c>
      <c r="F56" s="12">
        <v>0.65</v>
      </c>
      <c r="G56" s="11">
        <v>2528.2530000000002</v>
      </c>
      <c r="H56" s="11">
        <v>209.844999</v>
      </c>
      <c r="I56" s="11">
        <v>5056.5060000000003</v>
      </c>
      <c r="J56" s="14" t="s">
        <v>477</v>
      </c>
      <c r="K56" s="12">
        <v>0.11700000000000001</v>
      </c>
    </row>
    <row r="57" spans="1:11" x14ac:dyDescent="0.3">
      <c r="A57" s="15" t="s">
        <v>126</v>
      </c>
      <c r="B57" s="17">
        <v>6278</v>
      </c>
      <c r="C57" s="20" t="s">
        <v>405</v>
      </c>
      <c r="D57" s="15" t="s">
        <v>458</v>
      </c>
      <c r="E57" s="18">
        <v>0.18</v>
      </c>
      <c r="F57" s="18">
        <v>0.65</v>
      </c>
      <c r="G57" s="17">
        <v>734.52599999999995</v>
      </c>
      <c r="H57" s="17">
        <v>60.965657999999998</v>
      </c>
      <c r="I57" s="17">
        <v>1469.0519999999999</v>
      </c>
      <c r="J57" s="20" t="s">
        <v>477</v>
      </c>
      <c r="K57" s="18">
        <v>0.11700000000000001</v>
      </c>
    </row>
    <row r="58" spans="1:11" x14ac:dyDescent="0.3">
      <c r="A58" s="9" t="s">
        <v>127</v>
      </c>
      <c r="B58" s="11">
        <v>26458</v>
      </c>
      <c r="C58" s="14" t="s">
        <v>405</v>
      </c>
      <c r="D58" s="9" t="s">
        <v>458</v>
      </c>
      <c r="E58" s="12">
        <v>0.18</v>
      </c>
      <c r="F58" s="12">
        <v>0.65</v>
      </c>
      <c r="G58" s="11">
        <v>3095.5859999999998</v>
      </c>
      <c r="H58" s="11">
        <v>256.93363799999997</v>
      </c>
      <c r="I58" s="11">
        <v>6191.1719999999996</v>
      </c>
      <c r="J58" s="14" t="s">
        <v>477</v>
      </c>
      <c r="K58" s="12">
        <v>0.11700000000000001</v>
      </c>
    </row>
    <row r="59" spans="1:11" x14ac:dyDescent="0.3">
      <c r="A59" s="15" t="s">
        <v>128</v>
      </c>
      <c r="B59" s="17">
        <v>20266</v>
      </c>
      <c r="C59" s="20" t="s">
        <v>405</v>
      </c>
      <c r="D59" s="15" t="s">
        <v>458</v>
      </c>
      <c r="E59" s="18">
        <v>0.18</v>
      </c>
      <c r="F59" s="18">
        <v>0.65</v>
      </c>
      <c r="G59" s="17">
        <v>2371.1219999999998</v>
      </c>
      <c r="H59" s="17">
        <v>196.80312599999999</v>
      </c>
      <c r="I59" s="17">
        <v>4742.2439999999997</v>
      </c>
      <c r="J59" s="20" t="s">
        <v>477</v>
      </c>
      <c r="K59" s="18">
        <v>0.11700000000000001</v>
      </c>
    </row>
    <row r="60" spans="1:11" x14ac:dyDescent="0.3">
      <c r="A60" s="9" t="s">
        <v>129</v>
      </c>
      <c r="B60" s="11">
        <v>37668</v>
      </c>
      <c r="C60" s="14" t="s">
        <v>405</v>
      </c>
      <c r="D60" s="9" t="s">
        <v>458</v>
      </c>
      <c r="E60" s="12">
        <v>0.18</v>
      </c>
      <c r="F60" s="12">
        <v>0.65</v>
      </c>
      <c r="G60" s="11">
        <v>4407.1559999999999</v>
      </c>
      <c r="H60" s="11">
        <v>365.793948</v>
      </c>
      <c r="I60" s="11">
        <v>8814.3119999999999</v>
      </c>
      <c r="J60" s="14" t="s">
        <v>477</v>
      </c>
      <c r="K60" s="12">
        <v>0.11700000000000001</v>
      </c>
    </row>
    <row r="61" spans="1:11" x14ac:dyDescent="0.3">
      <c r="A61" s="15" t="s">
        <v>130</v>
      </c>
      <c r="B61" s="17">
        <v>30448</v>
      </c>
      <c r="C61" s="39" t="s">
        <v>402</v>
      </c>
      <c r="D61" s="15" t="s">
        <v>453</v>
      </c>
      <c r="E61" s="18">
        <v>0.08</v>
      </c>
      <c r="F61" s="18">
        <v>0.55000000000000004</v>
      </c>
      <c r="G61" s="17">
        <v>1339.712</v>
      </c>
      <c r="H61" s="17">
        <v>111.196096</v>
      </c>
      <c r="I61" s="17">
        <v>1339.712</v>
      </c>
      <c r="J61" s="66" t="s">
        <v>478</v>
      </c>
      <c r="K61" s="18">
        <v>4.3999999999999997E-2</v>
      </c>
    </row>
    <row r="62" spans="1:11" x14ac:dyDescent="0.3">
      <c r="A62" s="9" t="s">
        <v>131</v>
      </c>
      <c r="B62" s="11">
        <v>24529</v>
      </c>
      <c r="C62" s="14" t="s">
        <v>405</v>
      </c>
      <c r="D62" s="9" t="s">
        <v>458</v>
      </c>
      <c r="E62" s="12">
        <v>0.18</v>
      </c>
      <c r="F62" s="12">
        <v>0.65</v>
      </c>
      <c r="G62" s="11">
        <v>2869.893</v>
      </c>
      <c r="H62" s="11">
        <v>238.20111900000001</v>
      </c>
      <c r="I62" s="11">
        <v>5739.7860000000001</v>
      </c>
      <c r="J62" s="14" t="s">
        <v>477</v>
      </c>
      <c r="K62" s="12">
        <v>0.11700000000000001</v>
      </c>
    </row>
    <row r="63" spans="1:11" x14ac:dyDescent="0.3">
      <c r="A63" s="15" t="s">
        <v>132</v>
      </c>
      <c r="B63" s="17">
        <v>19008</v>
      </c>
      <c r="C63" s="20" t="s">
        <v>405</v>
      </c>
      <c r="D63" s="15" t="s">
        <v>458</v>
      </c>
      <c r="E63" s="18">
        <v>0.18</v>
      </c>
      <c r="F63" s="18">
        <v>0.65</v>
      </c>
      <c r="G63" s="17">
        <v>2223.9360000000001</v>
      </c>
      <c r="H63" s="17">
        <v>184.58668800000001</v>
      </c>
      <c r="I63" s="17">
        <v>4447.8720000000003</v>
      </c>
      <c r="J63" s="20" t="s">
        <v>477</v>
      </c>
      <c r="K63" s="18">
        <v>0.11700000000000001</v>
      </c>
    </row>
    <row r="64" spans="1:11" x14ac:dyDescent="0.3">
      <c r="A64" s="9" t="s">
        <v>133</v>
      </c>
      <c r="B64" s="11">
        <v>14163</v>
      </c>
      <c r="C64" s="14" t="s">
        <v>405</v>
      </c>
      <c r="D64" s="9" t="s">
        <v>458</v>
      </c>
      <c r="E64" s="12">
        <v>0.18</v>
      </c>
      <c r="F64" s="12">
        <v>0.65</v>
      </c>
      <c r="G64" s="11">
        <v>1657.0709999999999</v>
      </c>
      <c r="H64" s="11">
        <v>137.53689299999999</v>
      </c>
      <c r="I64" s="11">
        <v>3314.1419999999998</v>
      </c>
      <c r="J64" s="14" t="s">
        <v>477</v>
      </c>
      <c r="K64" s="12">
        <v>0.11700000000000001</v>
      </c>
    </row>
    <row r="65" spans="1:11" x14ac:dyDescent="0.3">
      <c r="A65" s="15" t="s">
        <v>134</v>
      </c>
      <c r="B65" s="17">
        <v>27539</v>
      </c>
      <c r="C65" s="20" t="s">
        <v>405</v>
      </c>
      <c r="D65" s="15" t="s">
        <v>458</v>
      </c>
      <c r="E65" s="18">
        <v>0.18</v>
      </c>
      <c r="F65" s="18">
        <v>0.65</v>
      </c>
      <c r="G65" s="17">
        <v>3222.0630000000001</v>
      </c>
      <c r="H65" s="17">
        <v>267.43122899999997</v>
      </c>
      <c r="I65" s="17">
        <v>6444.1260000000002</v>
      </c>
      <c r="J65" s="20" t="s">
        <v>477</v>
      </c>
      <c r="K65" s="18">
        <v>0.11700000000000001</v>
      </c>
    </row>
    <row r="66" spans="1:11" x14ac:dyDescent="0.3">
      <c r="A66" s="9" t="s">
        <v>135</v>
      </c>
      <c r="B66" s="11">
        <v>18164</v>
      </c>
      <c r="C66" s="14" t="s">
        <v>405</v>
      </c>
      <c r="D66" s="9" t="s">
        <v>458</v>
      </c>
      <c r="E66" s="12">
        <v>0.18</v>
      </c>
      <c r="F66" s="12">
        <v>0.65</v>
      </c>
      <c r="G66" s="11">
        <v>2125.1880000000001</v>
      </c>
      <c r="H66" s="11">
        <v>176.390604</v>
      </c>
      <c r="I66" s="11">
        <v>4250.3760000000002</v>
      </c>
      <c r="J66" s="14" t="s">
        <v>477</v>
      </c>
      <c r="K66" s="12">
        <v>0.11700000000000001</v>
      </c>
    </row>
    <row r="67" spans="1:11" x14ac:dyDescent="0.3">
      <c r="A67" s="15" t="s">
        <v>136</v>
      </c>
      <c r="B67" s="17">
        <v>29347</v>
      </c>
      <c r="C67" s="20" t="s">
        <v>405</v>
      </c>
      <c r="D67" s="15" t="s">
        <v>458</v>
      </c>
      <c r="E67" s="18">
        <v>0.18</v>
      </c>
      <c r="F67" s="18">
        <v>0.65</v>
      </c>
      <c r="G67" s="17">
        <v>3433.5990000000002</v>
      </c>
      <c r="H67" s="17">
        <v>284.98871700000001</v>
      </c>
      <c r="I67" s="17">
        <v>6867.1980000000003</v>
      </c>
      <c r="J67" s="20" t="s">
        <v>477</v>
      </c>
      <c r="K67" s="18">
        <v>0.11700000000000001</v>
      </c>
    </row>
    <row r="68" spans="1:11" x14ac:dyDescent="0.3">
      <c r="A68" s="9" t="s">
        <v>137</v>
      </c>
      <c r="B68" s="11">
        <v>23207</v>
      </c>
      <c r="C68" s="14" t="s">
        <v>405</v>
      </c>
      <c r="D68" s="9" t="s">
        <v>458</v>
      </c>
      <c r="E68" s="12">
        <v>0.18</v>
      </c>
      <c r="F68" s="12">
        <v>0.65</v>
      </c>
      <c r="G68" s="11">
        <v>2715.2190000000001</v>
      </c>
      <c r="H68" s="11">
        <v>225.36317700000001</v>
      </c>
      <c r="I68" s="11">
        <v>5430.4380000000001</v>
      </c>
      <c r="J68" s="14" t="s">
        <v>477</v>
      </c>
      <c r="K68" s="12">
        <v>0.11700000000000001</v>
      </c>
    </row>
    <row r="69" spans="1:11" x14ac:dyDescent="0.3">
      <c r="A69" s="15" t="s">
        <v>138</v>
      </c>
      <c r="B69" s="17">
        <v>23264</v>
      </c>
      <c r="C69" s="20" t="s">
        <v>405</v>
      </c>
      <c r="D69" s="15" t="s">
        <v>458</v>
      </c>
      <c r="E69" s="18">
        <v>0.18</v>
      </c>
      <c r="F69" s="18">
        <v>0.65</v>
      </c>
      <c r="G69" s="17">
        <v>2721.8879999999999</v>
      </c>
      <c r="H69" s="17">
        <v>225.91670400000001</v>
      </c>
      <c r="I69" s="17">
        <v>5443.7759999999998</v>
      </c>
      <c r="J69" s="20" t="s">
        <v>477</v>
      </c>
      <c r="K69" s="18">
        <v>0.11700000000000001</v>
      </c>
    </row>
    <row r="70" spans="1:11" x14ac:dyDescent="0.3">
      <c r="A70" s="9" t="s">
        <v>139</v>
      </c>
      <c r="B70" s="11">
        <v>24756</v>
      </c>
      <c r="C70" s="14" t="s">
        <v>405</v>
      </c>
      <c r="D70" s="9" t="s">
        <v>458</v>
      </c>
      <c r="E70" s="12">
        <v>0.18</v>
      </c>
      <c r="F70" s="12">
        <v>0.65</v>
      </c>
      <c r="G70" s="11">
        <v>2896.4520000000002</v>
      </c>
      <c r="H70" s="11">
        <v>240.40551600000001</v>
      </c>
      <c r="I70" s="11">
        <v>5792.9040000000005</v>
      </c>
      <c r="J70" s="14" t="s">
        <v>477</v>
      </c>
      <c r="K70" s="12">
        <v>0.11700000000000001</v>
      </c>
    </row>
    <row r="71" spans="1:11" x14ac:dyDescent="0.3">
      <c r="A71" s="15" t="s">
        <v>140</v>
      </c>
      <c r="B71" s="17">
        <v>12643</v>
      </c>
      <c r="C71" s="20" t="s">
        <v>405</v>
      </c>
      <c r="D71" s="15" t="s">
        <v>458</v>
      </c>
      <c r="E71" s="18">
        <v>0.18</v>
      </c>
      <c r="F71" s="18">
        <v>0.65</v>
      </c>
      <c r="G71" s="17">
        <v>1479.231</v>
      </c>
      <c r="H71" s="17">
        <v>122.776173</v>
      </c>
      <c r="I71" s="17">
        <v>2958.462</v>
      </c>
      <c r="J71" s="20" t="s">
        <v>477</v>
      </c>
      <c r="K71" s="18">
        <v>0.11700000000000001</v>
      </c>
    </row>
    <row r="72" spans="1:11" x14ac:dyDescent="0.3">
      <c r="A72" s="9" t="s">
        <v>141</v>
      </c>
      <c r="B72" s="11">
        <v>11823</v>
      </c>
      <c r="C72" s="14" t="s">
        <v>405</v>
      </c>
      <c r="D72" s="9" t="s">
        <v>458</v>
      </c>
      <c r="E72" s="12">
        <v>0.18</v>
      </c>
      <c r="F72" s="12">
        <v>0.65</v>
      </c>
      <c r="G72" s="11">
        <v>1383.2909999999999</v>
      </c>
      <c r="H72" s="11">
        <v>114.813153</v>
      </c>
      <c r="I72" s="11">
        <v>2766.5819999999999</v>
      </c>
      <c r="J72" s="14" t="s">
        <v>477</v>
      </c>
      <c r="K72" s="12">
        <v>0.11700000000000001</v>
      </c>
    </row>
    <row r="73" spans="1:11" x14ac:dyDescent="0.3">
      <c r="A73" s="15" t="s">
        <v>142</v>
      </c>
      <c r="B73" s="17">
        <v>11546</v>
      </c>
      <c r="C73" s="20" t="s">
        <v>405</v>
      </c>
      <c r="D73" s="15" t="s">
        <v>458</v>
      </c>
      <c r="E73" s="18">
        <v>0.18</v>
      </c>
      <c r="F73" s="18">
        <v>0.65</v>
      </c>
      <c r="G73" s="17">
        <v>1350.8820000000001</v>
      </c>
      <c r="H73" s="17">
        <v>112.123206</v>
      </c>
      <c r="I73" s="17">
        <v>2701.7640000000001</v>
      </c>
      <c r="J73" s="20" t="s">
        <v>477</v>
      </c>
      <c r="K73" s="18">
        <v>0.11700000000000001</v>
      </c>
    </row>
    <row r="74" spans="1:11" x14ac:dyDescent="0.3">
      <c r="A74" s="9" t="s">
        <v>143</v>
      </c>
      <c r="B74" s="11">
        <v>28380</v>
      </c>
      <c r="C74" s="14" t="s">
        <v>405</v>
      </c>
      <c r="D74" s="9" t="s">
        <v>458</v>
      </c>
      <c r="E74" s="12">
        <v>0.18</v>
      </c>
      <c r="F74" s="12">
        <v>0.65</v>
      </c>
      <c r="G74" s="11">
        <v>3320.46</v>
      </c>
      <c r="H74" s="11">
        <v>275.59818000000001</v>
      </c>
      <c r="I74" s="11">
        <v>6640.92</v>
      </c>
      <c r="J74" s="14" t="s">
        <v>477</v>
      </c>
      <c r="K74" s="12">
        <v>0.11700000000000001</v>
      </c>
    </row>
    <row r="75" spans="1:11" x14ac:dyDescent="0.3">
      <c r="A75" s="15" t="s">
        <v>144</v>
      </c>
      <c r="B75" s="17">
        <v>12434</v>
      </c>
      <c r="C75" s="20" t="s">
        <v>405</v>
      </c>
      <c r="D75" s="15" t="s">
        <v>458</v>
      </c>
      <c r="E75" s="18">
        <v>0.18</v>
      </c>
      <c r="F75" s="18">
        <v>0.65</v>
      </c>
      <c r="G75" s="17">
        <v>1454.778</v>
      </c>
      <c r="H75" s="17">
        <v>120.746574</v>
      </c>
      <c r="I75" s="17">
        <v>2909.556</v>
      </c>
      <c r="J75" s="20" t="s">
        <v>477</v>
      </c>
      <c r="K75" s="18">
        <v>0.11700000000000001</v>
      </c>
    </row>
    <row r="76" spans="1:11" x14ac:dyDescent="0.3">
      <c r="A76" s="9" t="s">
        <v>145</v>
      </c>
      <c r="B76" s="11">
        <v>13431</v>
      </c>
      <c r="C76" s="14" t="s">
        <v>405</v>
      </c>
      <c r="D76" s="9" t="s">
        <v>458</v>
      </c>
      <c r="E76" s="12">
        <v>0.18</v>
      </c>
      <c r="F76" s="12">
        <v>0.65</v>
      </c>
      <c r="G76" s="11">
        <v>1571.4269999999999</v>
      </c>
      <c r="H76" s="11">
        <v>130.42844099999999</v>
      </c>
      <c r="I76" s="11">
        <v>3142.8539999999998</v>
      </c>
      <c r="J76" s="14" t="s">
        <v>477</v>
      </c>
      <c r="K76" s="12">
        <v>0.11700000000000001</v>
      </c>
    </row>
    <row r="77" spans="1:11" x14ac:dyDescent="0.3">
      <c r="A77" s="15" t="s">
        <v>146</v>
      </c>
      <c r="B77" s="17">
        <v>24300</v>
      </c>
      <c r="C77" s="20" t="s">
        <v>405</v>
      </c>
      <c r="D77" s="15" t="s">
        <v>458</v>
      </c>
      <c r="E77" s="18">
        <v>0.18</v>
      </c>
      <c r="F77" s="18">
        <v>0.65</v>
      </c>
      <c r="G77" s="17">
        <v>2843.1</v>
      </c>
      <c r="H77" s="17">
        <v>235.97730000000001</v>
      </c>
      <c r="I77" s="17">
        <v>5686.2</v>
      </c>
      <c r="J77" s="20" t="s">
        <v>477</v>
      </c>
      <c r="K77" s="18">
        <v>0.11700000000000001</v>
      </c>
    </row>
    <row r="78" spans="1:11" x14ac:dyDescent="0.3">
      <c r="A78" s="9" t="s">
        <v>147</v>
      </c>
      <c r="B78" s="11">
        <v>17984</v>
      </c>
      <c r="C78" s="14" t="s">
        <v>405</v>
      </c>
      <c r="D78" s="9" t="s">
        <v>458</v>
      </c>
      <c r="E78" s="12">
        <v>0.18</v>
      </c>
      <c r="F78" s="12">
        <v>0.65</v>
      </c>
      <c r="G78" s="11">
        <v>2104.1280000000002</v>
      </c>
      <c r="H78" s="11">
        <v>174.64262400000001</v>
      </c>
      <c r="I78" s="11">
        <v>4208.2560000000003</v>
      </c>
      <c r="J78" s="14" t="s">
        <v>477</v>
      </c>
      <c r="K78" s="12">
        <v>0.11700000000000001</v>
      </c>
    </row>
    <row r="79" spans="1:11" x14ac:dyDescent="0.3">
      <c r="A79" s="15" t="s">
        <v>148</v>
      </c>
      <c r="B79" s="17">
        <v>16962</v>
      </c>
      <c r="C79" s="20" t="s">
        <v>405</v>
      </c>
      <c r="D79" s="15" t="s">
        <v>458</v>
      </c>
      <c r="E79" s="18">
        <v>0.18</v>
      </c>
      <c r="F79" s="18">
        <v>0.65</v>
      </c>
      <c r="G79" s="17">
        <v>1984.5540000000001</v>
      </c>
      <c r="H79" s="17">
        <v>164.71798200000001</v>
      </c>
      <c r="I79" s="17">
        <v>3969.1080000000002</v>
      </c>
      <c r="J79" s="20" t="s">
        <v>477</v>
      </c>
      <c r="K79" s="18">
        <v>0.11700000000000001</v>
      </c>
    </row>
    <row r="80" spans="1:11" x14ac:dyDescent="0.3">
      <c r="A80" s="9" t="s">
        <v>149</v>
      </c>
      <c r="B80" s="11">
        <v>16268</v>
      </c>
      <c r="C80" s="38" t="s">
        <v>402</v>
      </c>
      <c r="D80" s="9" t="s">
        <v>453</v>
      </c>
      <c r="E80" s="12">
        <v>0.08</v>
      </c>
      <c r="F80" s="12">
        <v>0.55000000000000004</v>
      </c>
      <c r="G80" s="11">
        <v>715.79200000000003</v>
      </c>
      <c r="H80" s="11">
        <v>59.410736</v>
      </c>
      <c r="I80" s="11">
        <v>715.79200000000003</v>
      </c>
      <c r="J80" s="65" t="s">
        <v>478</v>
      </c>
      <c r="K80" s="12">
        <v>4.3999999999999997E-2</v>
      </c>
    </row>
    <row r="81" spans="1:11" x14ac:dyDescent="0.3">
      <c r="A81" s="15" t="s">
        <v>150</v>
      </c>
      <c r="B81" s="17">
        <v>1395</v>
      </c>
      <c r="C81" s="39" t="s">
        <v>402</v>
      </c>
      <c r="D81" s="15" t="s">
        <v>453</v>
      </c>
      <c r="E81" s="18">
        <v>0.08</v>
      </c>
      <c r="F81" s="18">
        <v>0.55000000000000004</v>
      </c>
      <c r="G81" s="17">
        <v>61.38</v>
      </c>
      <c r="H81" s="17">
        <v>5.0945400000000003</v>
      </c>
      <c r="I81" s="17">
        <v>61.38</v>
      </c>
      <c r="J81" s="66" t="s">
        <v>478</v>
      </c>
      <c r="K81" s="18">
        <v>4.3999999999999997E-2</v>
      </c>
    </row>
    <row r="82" spans="1:11" x14ac:dyDescent="0.3">
      <c r="A82" s="9" t="s">
        <v>151</v>
      </c>
      <c r="B82" s="11">
        <v>12265</v>
      </c>
      <c r="C82" s="4" t="s">
        <v>399</v>
      </c>
      <c r="D82" s="9" t="s">
        <v>446</v>
      </c>
      <c r="E82" s="12">
        <v>0.02</v>
      </c>
      <c r="F82" s="12">
        <v>0.4</v>
      </c>
      <c r="G82" s="11">
        <v>98.12</v>
      </c>
      <c r="H82" s="11">
        <v>8.1439599999999999</v>
      </c>
      <c r="I82" s="11">
        <v>98.12</v>
      </c>
      <c r="J82" s="4" t="s">
        <v>479</v>
      </c>
      <c r="K82" s="12">
        <v>8.0000000000000002E-3</v>
      </c>
    </row>
    <row r="83" spans="1:11" x14ac:dyDescent="0.3">
      <c r="A83" s="15" t="s">
        <v>152</v>
      </c>
      <c r="B83" s="17">
        <v>29453</v>
      </c>
      <c r="C83" s="20" t="s">
        <v>405</v>
      </c>
      <c r="D83" s="15" t="s">
        <v>458</v>
      </c>
      <c r="E83" s="18">
        <v>0.18</v>
      </c>
      <c r="F83" s="18">
        <v>0.65</v>
      </c>
      <c r="G83" s="17">
        <v>3446.0010000000002</v>
      </c>
      <c r="H83" s="17">
        <v>286.01808299999999</v>
      </c>
      <c r="I83" s="17">
        <v>6892.0020000000004</v>
      </c>
      <c r="J83" s="20" t="s">
        <v>477</v>
      </c>
      <c r="K83" s="18">
        <v>0.11700000000000001</v>
      </c>
    </row>
    <row r="84" spans="1:11" x14ac:dyDescent="0.3">
      <c r="A84" s="9" t="s">
        <v>153</v>
      </c>
      <c r="B84" s="11">
        <v>15685</v>
      </c>
      <c r="C84" s="14" t="s">
        <v>405</v>
      </c>
      <c r="D84" s="9" t="s">
        <v>458</v>
      </c>
      <c r="E84" s="12">
        <v>0.18</v>
      </c>
      <c r="F84" s="12">
        <v>0.65</v>
      </c>
      <c r="G84" s="11">
        <v>1835.145</v>
      </c>
      <c r="H84" s="11">
        <v>152.317035</v>
      </c>
      <c r="I84" s="11">
        <v>3670.29</v>
      </c>
      <c r="J84" s="14" t="s">
        <v>477</v>
      </c>
      <c r="K84" s="12">
        <v>0.11700000000000001</v>
      </c>
    </row>
    <row r="85" spans="1:11" x14ac:dyDescent="0.3">
      <c r="A85" s="15" t="s">
        <v>154</v>
      </c>
      <c r="B85" s="17">
        <v>4796</v>
      </c>
      <c r="C85" s="39" t="s">
        <v>402</v>
      </c>
      <c r="D85" s="15" t="s">
        <v>453</v>
      </c>
      <c r="E85" s="18">
        <v>0.08</v>
      </c>
      <c r="F85" s="18">
        <v>0.55000000000000004</v>
      </c>
      <c r="G85" s="17">
        <v>211.024</v>
      </c>
      <c r="H85" s="17">
        <v>17.514991999999999</v>
      </c>
      <c r="I85" s="17">
        <v>211.024</v>
      </c>
      <c r="J85" s="66" t="s">
        <v>478</v>
      </c>
      <c r="K85" s="18">
        <v>4.3999999999999997E-2</v>
      </c>
    </row>
    <row r="86" spans="1:11" x14ac:dyDescent="0.3">
      <c r="A86" s="9" t="s">
        <v>155</v>
      </c>
      <c r="B86" s="11">
        <v>11936</v>
      </c>
      <c r="C86" s="14" t="s">
        <v>405</v>
      </c>
      <c r="D86" s="9" t="s">
        <v>458</v>
      </c>
      <c r="E86" s="12">
        <v>0.18</v>
      </c>
      <c r="F86" s="12">
        <v>0.65</v>
      </c>
      <c r="G86" s="11">
        <v>1396.5119999999999</v>
      </c>
      <c r="H86" s="11">
        <v>115.91049599999999</v>
      </c>
      <c r="I86" s="11">
        <v>2793.0239999999999</v>
      </c>
      <c r="J86" s="14" t="s">
        <v>477</v>
      </c>
      <c r="K86" s="12">
        <v>0.11700000000000001</v>
      </c>
    </row>
    <row r="87" spans="1:11" x14ac:dyDescent="0.3">
      <c r="A87" s="15" t="s">
        <v>156</v>
      </c>
      <c r="B87" s="17">
        <v>22879</v>
      </c>
      <c r="C87" s="20" t="s">
        <v>405</v>
      </c>
      <c r="D87" s="15" t="s">
        <v>458</v>
      </c>
      <c r="E87" s="18">
        <v>0.18</v>
      </c>
      <c r="F87" s="18">
        <v>0.65</v>
      </c>
      <c r="G87" s="17">
        <v>2676.8429999999998</v>
      </c>
      <c r="H87" s="17">
        <v>222.17796899999999</v>
      </c>
      <c r="I87" s="17">
        <v>5353.6859999999997</v>
      </c>
      <c r="J87" s="20" t="s">
        <v>477</v>
      </c>
      <c r="K87" s="18">
        <v>0.11700000000000001</v>
      </c>
    </row>
    <row r="88" spans="1:11" x14ac:dyDescent="0.3">
      <c r="A88" s="9" t="s">
        <v>157</v>
      </c>
      <c r="B88" s="11">
        <v>22720</v>
      </c>
      <c r="C88" s="14" t="s">
        <v>405</v>
      </c>
      <c r="D88" s="9" t="s">
        <v>458</v>
      </c>
      <c r="E88" s="12">
        <v>0.18</v>
      </c>
      <c r="F88" s="12">
        <v>0.65</v>
      </c>
      <c r="G88" s="11">
        <v>2658.24</v>
      </c>
      <c r="H88" s="11">
        <v>220.63391999999999</v>
      </c>
      <c r="I88" s="11">
        <v>5316.48</v>
      </c>
      <c r="J88" s="14" t="s">
        <v>477</v>
      </c>
      <c r="K88" s="12">
        <v>0.11700000000000001</v>
      </c>
    </row>
    <row r="89" spans="1:11" x14ac:dyDescent="0.3">
      <c r="A89" s="15" t="s">
        <v>158</v>
      </c>
      <c r="B89" s="17">
        <v>17646</v>
      </c>
      <c r="C89" s="39" t="s">
        <v>402</v>
      </c>
      <c r="D89" s="15" t="s">
        <v>453</v>
      </c>
      <c r="E89" s="18">
        <v>0.08</v>
      </c>
      <c r="F89" s="18">
        <v>0.55000000000000004</v>
      </c>
      <c r="G89" s="17">
        <v>776.42399999999998</v>
      </c>
      <c r="H89" s="17">
        <v>64.443191999999996</v>
      </c>
      <c r="I89" s="17">
        <v>776.42399999999998</v>
      </c>
      <c r="J89" s="66" t="s">
        <v>478</v>
      </c>
      <c r="K89" s="18">
        <v>4.3999999999999997E-2</v>
      </c>
    </row>
    <row r="90" spans="1:11" x14ac:dyDescent="0.3">
      <c r="A90" s="9" t="s">
        <v>159</v>
      </c>
      <c r="B90" s="11">
        <v>14486</v>
      </c>
      <c r="C90" s="14" t="s">
        <v>405</v>
      </c>
      <c r="D90" s="9" t="s">
        <v>458</v>
      </c>
      <c r="E90" s="12">
        <v>0.18</v>
      </c>
      <c r="F90" s="12">
        <v>0.65</v>
      </c>
      <c r="G90" s="11">
        <v>1694.8620000000001</v>
      </c>
      <c r="H90" s="11">
        <v>140.67354599999999</v>
      </c>
      <c r="I90" s="11">
        <v>3389.7240000000002</v>
      </c>
      <c r="J90" s="14" t="s">
        <v>477</v>
      </c>
      <c r="K90" s="12">
        <v>0.11700000000000001</v>
      </c>
    </row>
    <row r="91" spans="1:11" x14ac:dyDescent="0.3">
      <c r="A91" s="15" t="s">
        <v>160</v>
      </c>
      <c r="B91" s="17">
        <v>8782</v>
      </c>
      <c r="C91" s="20" t="s">
        <v>405</v>
      </c>
      <c r="D91" s="15" t="s">
        <v>458</v>
      </c>
      <c r="E91" s="18">
        <v>0.18</v>
      </c>
      <c r="F91" s="18">
        <v>0.65</v>
      </c>
      <c r="G91" s="17">
        <v>1027.4939999999999</v>
      </c>
      <c r="H91" s="17">
        <v>85.282002000000006</v>
      </c>
      <c r="I91" s="17">
        <v>2054.9879999999998</v>
      </c>
      <c r="J91" s="20" t="s">
        <v>477</v>
      </c>
      <c r="K91" s="18">
        <v>0.11700000000000001</v>
      </c>
    </row>
    <row r="92" spans="1:11" x14ac:dyDescent="0.3">
      <c r="A92" s="9" t="s">
        <v>161</v>
      </c>
      <c r="B92" s="11">
        <v>22945</v>
      </c>
      <c r="C92" s="14" t="s">
        <v>405</v>
      </c>
      <c r="D92" s="9" t="s">
        <v>458</v>
      </c>
      <c r="E92" s="12">
        <v>0.18</v>
      </c>
      <c r="F92" s="12">
        <v>0.65</v>
      </c>
      <c r="G92" s="11">
        <v>2684.5650000000001</v>
      </c>
      <c r="H92" s="11">
        <v>222.818895</v>
      </c>
      <c r="I92" s="11">
        <v>5369.13</v>
      </c>
      <c r="J92" s="14" t="s">
        <v>477</v>
      </c>
      <c r="K92" s="12">
        <v>0.11700000000000001</v>
      </c>
    </row>
    <row r="93" spans="1:11" x14ac:dyDescent="0.3">
      <c r="A93" s="15" t="s">
        <v>162</v>
      </c>
      <c r="B93" s="17">
        <v>26703</v>
      </c>
      <c r="C93" s="20" t="s">
        <v>405</v>
      </c>
      <c r="D93" s="15" t="s">
        <v>458</v>
      </c>
      <c r="E93" s="18">
        <v>0.18</v>
      </c>
      <c r="F93" s="18">
        <v>0.65</v>
      </c>
      <c r="G93" s="17">
        <v>3124.2510000000002</v>
      </c>
      <c r="H93" s="17">
        <v>259.31283300000001</v>
      </c>
      <c r="I93" s="17">
        <v>6248.5020000000004</v>
      </c>
      <c r="J93" s="20" t="s">
        <v>477</v>
      </c>
      <c r="K93" s="18">
        <v>0.11700000000000001</v>
      </c>
    </row>
    <row r="94" spans="1:11" x14ac:dyDescent="0.3">
      <c r="A94" s="9" t="s">
        <v>163</v>
      </c>
      <c r="B94" s="11">
        <v>30311</v>
      </c>
      <c r="C94" s="14" t="s">
        <v>405</v>
      </c>
      <c r="D94" s="9" t="s">
        <v>458</v>
      </c>
      <c r="E94" s="12">
        <v>0.18</v>
      </c>
      <c r="F94" s="12">
        <v>0.65</v>
      </c>
      <c r="G94" s="11">
        <v>3546.3870000000002</v>
      </c>
      <c r="H94" s="11">
        <v>294.350121</v>
      </c>
      <c r="I94" s="11">
        <v>7092.7740000000003</v>
      </c>
      <c r="J94" s="14" t="s">
        <v>477</v>
      </c>
      <c r="K94" s="12">
        <v>0.11700000000000001</v>
      </c>
    </row>
    <row r="95" spans="1:11" x14ac:dyDescent="0.3">
      <c r="A95" s="15" t="s">
        <v>164</v>
      </c>
      <c r="B95" s="17">
        <v>11115</v>
      </c>
      <c r="C95" s="20" t="s">
        <v>405</v>
      </c>
      <c r="D95" s="15" t="s">
        <v>458</v>
      </c>
      <c r="E95" s="18">
        <v>0.18</v>
      </c>
      <c r="F95" s="18">
        <v>0.65</v>
      </c>
      <c r="G95" s="17">
        <v>1300.4549999999999</v>
      </c>
      <c r="H95" s="17">
        <v>107.937765</v>
      </c>
      <c r="I95" s="17">
        <v>2600.91</v>
      </c>
      <c r="J95" s="20" t="s">
        <v>477</v>
      </c>
      <c r="K95" s="18">
        <v>0.11700000000000001</v>
      </c>
    </row>
    <row r="96" spans="1:11" x14ac:dyDescent="0.3">
      <c r="A96" s="9" t="s">
        <v>165</v>
      </c>
      <c r="B96" s="11">
        <v>30924</v>
      </c>
      <c r="C96" s="14" t="s">
        <v>405</v>
      </c>
      <c r="D96" s="9" t="s">
        <v>458</v>
      </c>
      <c r="E96" s="12">
        <v>0.18</v>
      </c>
      <c r="F96" s="12">
        <v>0.65</v>
      </c>
      <c r="G96" s="11">
        <v>3618.1080000000002</v>
      </c>
      <c r="H96" s="11">
        <v>300.30296399999997</v>
      </c>
      <c r="I96" s="11">
        <v>7236.2160000000003</v>
      </c>
      <c r="J96" s="14" t="s">
        <v>477</v>
      </c>
      <c r="K96" s="12">
        <v>0.11700000000000001</v>
      </c>
    </row>
    <row r="97" spans="1:11" x14ac:dyDescent="0.3">
      <c r="A97" s="15" t="s">
        <v>166</v>
      </c>
      <c r="B97" s="17">
        <v>19547</v>
      </c>
      <c r="C97" s="20" t="s">
        <v>405</v>
      </c>
      <c r="D97" s="15" t="s">
        <v>458</v>
      </c>
      <c r="E97" s="18">
        <v>0.18</v>
      </c>
      <c r="F97" s="18">
        <v>0.65</v>
      </c>
      <c r="G97" s="17">
        <v>2286.9989999999998</v>
      </c>
      <c r="H97" s="17">
        <v>189.82091700000001</v>
      </c>
      <c r="I97" s="17">
        <v>4573.9979999999996</v>
      </c>
      <c r="J97" s="20" t="s">
        <v>477</v>
      </c>
      <c r="K97" s="18">
        <v>0.11700000000000001</v>
      </c>
    </row>
    <row r="98" spans="1:11" x14ac:dyDescent="0.3">
      <c r="A98" s="9" t="s">
        <v>167</v>
      </c>
      <c r="B98" s="11">
        <v>20213</v>
      </c>
      <c r="C98" s="14" t="s">
        <v>405</v>
      </c>
      <c r="D98" s="9" t="s">
        <v>458</v>
      </c>
      <c r="E98" s="12">
        <v>0.18</v>
      </c>
      <c r="F98" s="12">
        <v>0.65</v>
      </c>
      <c r="G98" s="11">
        <v>2364.9209999999998</v>
      </c>
      <c r="H98" s="11">
        <v>196.288443</v>
      </c>
      <c r="I98" s="11">
        <v>4729.8419999999996</v>
      </c>
      <c r="J98" s="14" t="s">
        <v>477</v>
      </c>
      <c r="K98" s="12">
        <v>0.11700000000000001</v>
      </c>
    </row>
    <row r="99" spans="1:11" x14ac:dyDescent="0.3">
      <c r="A99" s="15" t="s">
        <v>168</v>
      </c>
      <c r="B99" s="17">
        <v>27149</v>
      </c>
      <c r="C99" s="20" t="s">
        <v>405</v>
      </c>
      <c r="D99" s="15" t="s">
        <v>458</v>
      </c>
      <c r="E99" s="18">
        <v>0.18</v>
      </c>
      <c r="F99" s="18">
        <v>0.65</v>
      </c>
      <c r="G99" s="17">
        <v>3176.433</v>
      </c>
      <c r="H99" s="17">
        <v>263.64393899999999</v>
      </c>
      <c r="I99" s="17">
        <v>6352.866</v>
      </c>
      <c r="J99" s="20" t="s">
        <v>477</v>
      </c>
      <c r="K99" s="18">
        <v>0.11700000000000001</v>
      </c>
    </row>
    <row r="100" spans="1:11" x14ac:dyDescent="0.3">
      <c r="A100" s="9" t="s">
        <v>169</v>
      </c>
      <c r="B100" s="11">
        <v>15672</v>
      </c>
      <c r="C100" s="14" t="s">
        <v>405</v>
      </c>
      <c r="D100" s="9" t="s">
        <v>458</v>
      </c>
      <c r="E100" s="12">
        <v>0.18</v>
      </c>
      <c r="F100" s="12">
        <v>0.65</v>
      </c>
      <c r="G100" s="11">
        <v>1833.624</v>
      </c>
      <c r="H100" s="11">
        <v>152.19079199999999</v>
      </c>
      <c r="I100" s="11">
        <v>3667.248</v>
      </c>
      <c r="J100" s="14" t="s">
        <v>477</v>
      </c>
      <c r="K100" s="12">
        <v>0.11700000000000001</v>
      </c>
    </row>
    <row r="101" spans="1:11" x14ac:dyDescent="0.3">
      <c r="A101" s="15" t="s">
        <v>170</v>
      </c>
      <c r="B101" s="17">
        <v>2690</v>
      </c>
      <c r="C101" s="39" t="s">
        <v>402</v>
      </c>
      <c r="D101" s="15" t="s">
        <v>453</v>
      </c>
      <c r="E101" s="18">
        <v>0.08</v>
      </c>
      <c r="F101" s="18">
        <v>0.55000000000000004</v>
      </c>
      <c r="G101" s="17">
        <v>118.36</v>
      </c>
      <c r="H101" s="17">
        <v>9.8238800000000008</v>
      </c>
      <c r="I101" s="17">
        <v>118.36</v>
      </c>
      <c r="J101" s="66" t="s">
        <v>478</v>
      </c>
      <c r="K101" s="18">
        <v>4.3999999999999997E-2</v>
      </c>
    </row>
    <row r="102" spans="1:11" x14ac:dyDescent="0.3">
      <c r="A102" s="9" t="s">
        <v>171</v>
      </c>
      <c r="B102" s="11">
        <v>25639</v>
      </c>
      <c r="C102" s="14" t="s">
        <v>405</v>
      </c>
      <c r="D102" s="9" t="s">
        <v>458</v>
      </c>
      <c r="E102" s="12">
        <v>0.18</v>
      </c>
      <c r="F102" s="12">
        <v>0.65</v>
      </c>
      <c r="G102" s="11">
        <v>2999.7629999999999</v>
      </c>
      <c r="H102" s="11">
        <v>248.98032900000001</v>
      </c>
      <c r="I102" s="11">
        <v>5999.5259999999998</v>
      </c>
      <c r="J102" s="14" t="s">
        <v>477</v>
      </c>
      <c r="K102" s="12">
        <v>0.11700000000000001</v>
      </c>
    </row>
    <row r="103" spans="1:11" x14ac:dyDescent="0.3">
      <c r="A103" s="15" t="s">
        <v>172</v>
      </c>
      <c r="B103" s="17">
        <v>22789</v>
      </c>
      <c r="C103" s="20" t="s">
        <v>405</v>
      </c>
      <c r="D103" s="15" t="s">
        <v>458</v>
      </c>
      <c r="E103" s="18">
        <v>0.18</v>
      </c>
      <c r="F103" s="18">
        <v>0.65</v>
      </c>
      <c r="G103" s="17">
        <v>2666.3130000000001</v>
      </c>
      <c r="H103" s="17">
        <v>221.303979</v>
      </c>
      <c r="I103" s="17">
        <v>5332.6260000000002</v>
      </c>
      <c r="J103" s="20" t="s">
        <v>477</v>
      </c>
      <c r="K103" s="18">
        <v>0.11700000000000001</v>
      </c>
    </row>
    <row r="104" spans="1:11" x14ac:dyDescent="0.3">
      <c r="A104" s="9" t="s">
        <v>173</v>
      </c>
      <c r="B104" s="11">
        <v>17118</v>
      </c>
      <c r="C104" s="14" t="s">
        <v>405</v>
      </c>
      <c r="D104" s="9" t="s">
        <v>458</v>
      </c>
      <c r="E104" s="12">
        <v>0.18</v>
      </c>
      <c r="F104" s="12">
        <v>0.65</v>
      </c>
      <c r="G104" s="11">
        <v>2002.806</v>
      </c>
      <c r="H104" s="11">
        <v>166.23289800000001</v>
      </c>
      <c r="I104" s="11">
        <v>4005.6120000000001</v>
      </c>
      <c r="J104" s="14" t="s">
        <v>477</v>
      </c>
      <c r="K104" s="12">
        <v>0.11700000000000001</v>
      </c>
    </row>
    <row r="105" spans="1:11" x14ac:dyDescent="0.3">
      <c r="A105" s="15" t="s">
        <v>174</v>
      </c>
      <c r="B105" s="17">
        <v>24980</v>
      </c>
      <c r="C105" s="20" t="s">
        <v>405</v>
      </c>
      <c r="D105" s="15" t="s">
        <v>458</v>
      </c>
      <c r="E105" s="18">
        <v>0.18</v>
      </c>
      <c r="F105" s="18">
        <v>0.65</v>
      </c>
      <c r="G105" s="17">
        <v>2922.66</v>
      </c>
      <c r="H105" s="17">
        <v>242.58078</v>
      </c>
      <c r="I105" s="17">
        <v>5845.32</v>
      </c>
      <c r="J105" s="20" t="s">
        <v>477</v>
      </c>
      <c r="K105" s="18">
        <v>0.11700000000000001</v>
      </c>
    </row>
    <row r="106" spans="1:11" x14ac:dyDescent="0.3">
      <c r="A106" s="9" t="s">
        <v>175</v>
      </c>
      <c r="B106" s="11">
        <v>26616</v>
      </c>
      <c r="C106" s="14" t="s">
        <v>405</v>
      </c>
      <c r="D106" s="9" t="s">
        <v>458</v>
      </c>
      <c r="E106" s="12">
        <v>0.18</v>
      </c>
      <c r="F106" s="12">
        <v>0.65</v>
      </c>
      <c r="G106" s="11">
        <v>3114.0720000000001</v>
      </c>
      <c r="H106" s="11">
        <v>258.46797600000002</v>
      </c>
      <c r="I106" s="11">
        <v>6228.1440000000002</v>
      </c>
      <c r="J106" s="14" t="s">
        <v>477</v>
      </c>
      <c r="K106" s="12">
        <v>0.11700000000000001</v>
      </c>
    </row>
    <row r="107" spans="1:11" x14ac:dyDescent="0.3">
      <c r="A107" s="15" t="s">
        <v>176</v>
      </c>
      <c r="B107" s="17">
        <v>7904</v>
      </c>
      <c r="C107" s="20" t="s">
        <v>405</v>
      </c>
      <c r="D107" s="15" t="s">
        <v>458</v>
      </c>
      <c r="E107" s="18">
        <v>0.18</v>
      </c>
      <c r="F107" s="18">
        <v>0.65</v>
      </c>
      <c r="G107" s="17">
        <v>924.76800000000003</v>
      </c>
      <c r="H107" s="17">
        <v>76.755744000000007</v>
      </c>
      <c r="I107" s="17">
        <v>1849.5360000000001</v>
      </c>
      <c r="J107" s="20" t="s">
        <v>477</v>
      </c>
      <c r="K107" s="18">
        <v>0.11700000000000001</v>
      </c>
    </row>
    <row r="108" spans="1:11" x14ac:dyDescent="0.3">
      <c r="A108" s="9" t="s">
        <v>177</v>
      </c>
      <c r="B108" s="11">
        <v>20180</v>
      </c>
      <c r="C108" s="14" t="s">
        <v>405</v>
      </c>
      <c r="D108" s="9" t="s">
        <v>458</v>
      </c>
      <c r="E108" s="12">
        <v>0.18</v>
      </c>
      <c r="F108" s="12">
        <v>0.65</v>
      </c>
      <c r="G108" s="11">
        <v>2361.06</v>
      </c>
      <c r="H108" s="11">
        <v>195.96798000000001</v>
      </c>
      <c r="I108" s="11">
        <v>4722.12</v>
      </c>
      <c r="J108" s="14" t="s">
        <v>477</v>
      </c>
      <c r="K108" s="12">
        <v>0.11700000000000001</v>
      </c>
    </row>
    <row r="109" spans="1:11" x14ac:dyDescent="0.3">
      <c r="A109" s="15" t="s">
        <v>178</v>
      </c>
      <c r="B109" s="17">
        <v>1779</v>
      </c>
      <c r="C109" s="20" t="s">
        <v>405</v>
      </c>
      <c r="D109" s="15" t="s">
        <v>458</v>
      </c>
      <c r="E109" s="18">
        <v>0.18</v>
      </c>
      <c r="F109" s="18">
        <v>0.65</v>
      </c>
      <c r="G109" s="17">
        <v>208.143</v>
      </c>
      <c r="H109" s="17">
        <v>17.275869</v>
      </c>
      <c r="I109" s="17">
        <v>416.286</v>
      </c>
      <c r="J109" s="20" t="s">
        <v>477</v>
      </c>
      <c r="K109" s="18">
        <v>0.11700000000000001</v>
      </c>
    </row>
    <row r="110" spans="1:11" x14ac:dyDescent="0.3">
      <c r="A110" s="9" t="s">
        <v>179</v>
      </c>
      <c r="B110" s="11">
        <v>19010</v>
      </c>
      <c r="C110" s="14" t="s">
        <v>405</v>
      </c>
      <c r="D110" s="9" t="s">
        <v>458</v>
      </c>
      <c r="E110" s="12">
        <v>0.18</v>
      </c>
      <c r="F110" s="12">
        <v>0.65</v>
      </c>
      <c r="G110" s="11">
        <v>2224.17</v>
      </c>
      <c r="H110" s="11">
        <v>184.60611</v>
      </c>
      <c r="I110" s="11">
        <v>4448.34</v>
      </c>
      <c r="J110" s="14" t="s">
        <v>477</v>
      </c>
      <c r="K110" s="12">
        <v>0.11700000000000001</v>
      </c>
    </row>
    <row r="111" spans="1:11" x14ac:dyDescent="0.3">
      <c r="A111" s="15" t="s">
        <v>180</v>
      </c>
      <c r="B111" s="17">
        <v>17018</v>
      </c>
      <c r="C111" s="7" t="s">
        <v>399</v>
      </c>
      <c r="D111" s="15" t="s">
        <v>446</v>
      </c>
      <c r="E111" s="18">
        <v>0.02</v>
      </c>
      <c r="F111" s="18">
        <v>0.4</v>
      </c>
      <c r="G111" s="17">
        <v>136.14400000000001</v>
      </c>
      <c r="H111" s="17">
        <v>11.299951999999999</v>
      </c>
      <c r="I111" s="17">
        <v>136.14400000000001</v>
      </c>
      <c r="J111" s="7" t="s">
        <v>479</v>
      </c>
      <c r="K111" s="18">
        <v>8.0000000000000002E-3</v>
      </c>
    </row>
    <row r="112" spans="1:11" x14ac:dyDescent="0.3">
      <c r="A112" s="9" t="s">
        <v>181</v>
      </c>
      <c r="B112" s="11">
        <v>23935</v>
      </c>
      <c r="C112" s="14" t="s">
        <v>405</v>
      </c>
      <c r="D112" s="9" t="s">
        <v>458</v>
      </c>
      <c r="E112" s="12">
        <v>0.18</v>
      </c>
      <c r="F112" s="12">
        <v>0.65</v>
      </c>
      <c r="G112" s="11">
        <v>2800.395</v>
      </c>
      <c r="H112" s="11">
        <v>232.432785</v>
      </c>
      <c r="I112" s="11">
        <v>5600.79</v>
      </c>
      <c r="J112" s="14" t="s">
        <v>477</v>
      </c>
      <c r="K112" s="12">
        <v>0.11700000000000001</v>
      </c>
    </row>
    <row r="113" spans="1:11" x14ac:dyDescent="0.3">
      <c r="A113" s="15" t="s">
        <v>182</v>
      </c>
      <c r="B113" s="17">
        <v>11416</v>
      </c>
      <c r="C113" s="20" t="s">
        <v>405</v>
      </c>
      <c r="D113" s="15" t="s">
        <v>458</v>
      </c>
      <c r="E113" s="18">
        <v>0.18</v>
      </c>
      <c r="F113" s="18">
        <v>0.65</v>
      </c>
      <c r="G113" s="17">
        <v>1335.672</v>
      </c>
      <c r="H113" s="17">
        <v>110.860776</v>
      </c>
      <c r="I113" s="17">
        <v>2671.3440000000001</v>
      </c>
      <c r="J113" s="20" t="s">
        <v>477</v>
      </c>
      <c r="K113" s="18">
        <v>0.11700000000000001</v>
      </c>
    </row>
    <row r="114" spans="1:11" x14ac:dyDescent="0.3">
      <c r="A114" s="9" t="s">
        <v>183</v>
      </c>
      <c r="B114" s="11">
        <v>16628</v>
      </c>
      <c r="C114" s="14" t="s">
        <v>405</v>
      </c>
      <c r="D114" s="9" t="s">
        <v>458</v>
      </c>
      <c r="E114" s="12">
        <v>0.18</v>
      </c>
      <c r="F114" s="12">
        <v>0.65</v>
      </c>
      <c r="G114" s="11">
        <v>1945.4760000000001</v>
      </c>
      <c r="H114" s="11">
        <v>161.47450799999999</v>
      </c>
      <c r="I114" s="11">
        <v>3890.9520000000002</v>
      </c>
      <c r="J114" s="14" t="s">
        <v>477</v>
      </c>
      <c r="K114" s="12">
        <v>0.11700000000000001</v>
      </c>
    </row>
    <row r="115" spans="1:11" x14ac:dyDescent="0.3">
      <c r="A115" s="15" t="s">
        <v>184</v>
      </c>
      <c r="B115" s="17">
        <v>-5728</v>
      </c>
      <c r="C115" s="20" t="s">
        <v>405</v>
      </c>
      <c r="D115" s="15" t="s">
        <v>458</v>
      </c>
      <c r="E115" s="18">
        <v>0.18</v>
      </c>
      <c r="F115" s="18">
        <v>0.65</v>
      </c>
      <c r="G115" s="17">
        <v>-670.17600000000004</v>
      </c>
      <c r="H115" s="17">
        <v>-55.624608000000002</v>
      </c>
      <c r="I115" s="17">
        <v>-1340.3520000000001</v>
      </c>
      <c r="J115" s="20" t="s">
        <v>477</v>
      </c>
      <c r="K115" s="18">
        <v>0</v>
      </c>
    </row>
    <row r="116" spans="1:11" x14ac:dyDescent="0.3">
      <c r="A116" s="9" t="s">
        <v>185</v>
      </c>
      <c r="B116" s="11">
        <v>24460</v>
      </c>
      <c r="C116" s="14" t="s">
        <v>405</v>
      </c>
      <c r="D116" s="9" t="s">
        <v>458</v>
      </c>
      <c r="E116" s="12">
        <v>0.18</v>
      </c>
      <c r="F116" s="12">
        <v>0.65</v>
      </c>
      <c r="G116" s="11">
        <v>2861.82</v>
      </c>
      <c r="H116" s="11">
        <v>237.53106</v>
      </c>
      <c r="I116" s="11">
        <v>5723.64</v>
      </c>
      <c r="J116" s="14" t="s">
        <v>477</v>
      </c>
      <c r="K116" s="12">
        <v>0.11700000000000001</v>
      </c>
    </row>
    <row r="117" spans="1:11" x14ac:dyDescent="0.3">
      <c r="A117" s="15" t="s">
        <v>186</v>
      </c>
      <c r="B117" s="17">
        <v>19293</v>
      </c>
      <c r="C117" s="20" t="s">
        <v>405</v>
      </c>
      <c r="D117" s="15" t="s">
        <v>458</v>
      </c>
      <c r="E117" s="18">
        <v>0.18</v>
      </c>
      <c r="F117" s="18">
        <v>0.65</v>
      </c>
      <c r="G117" s="17">
        <v>2257.2809999999999</v>
      </c>
      <c r="H117" s="17">
        <v>187.35432299999999</v>
      </c>
      <c r="I117" s="17">
        <v>4514.5619999999999</v>
      </c>
      <c r="J117" s="20" t="s">
        <v>477</v>
      </c>
      <c r="K117" s="18">
        <v>0.11700000000000001</v>
      </c>
    </row>
    <row r="118" spans="1:11" x14ac:dyDescent="0.3">
      <c r="A118" s="9" t="s">
        <v>187</v>
      </c>
      <c r="B118" s="11">
        <v>20698</v>
      </c>
      <c r="C118" s="14" t="s">
        <v>405</v>
      </c>
      <c r="D118" s="9" t="s">
        <v>458</v>
      </c>
      <c r="E118" s="12">
        <v>0.18</v>
      </c>
      <c r="F118" s="12">
        <v>0.65</v>
      </c>
      <c r="G118" s="11">
        <v>2421.6660000000002</v>
      </c>
      <c r="H118" s="11">
        <v>200.998278</v>
      </c>
      <c r="I118" s="11">
        <v>4843.3320000000003</v>
      </c>
      <c r="J118" s="14" t="s">
        <v>477</v>
      </c>
      <c r="K118" s="12">
        <v>0.11700000000000001</v>
      </c>
    </row>
    <row r="119" spans="1:11" x14ac:dyDescent="0.3">
      <c r="A119" s="15" t="s">
        <v>188</v>
      </c>
      <c r="B119" s="17">
        <v>8053</v>
      </c>
      <c r="C119" s="20" t="s">
        <v>405</v>
      </c>
      <c r="D119" s="15" t="s">
        <v>458</v>
      </c>
      <c r="E119" s="18">
        <v>0.18</v>
      </c>
      <c r="F119" s="18">
        <v>0.65</v>
      </c>
      <c r="G119" s="17">
        <v>942.20100000000002</v>
      </c>
      <c r="H119" s="17">
        <v>78.202682999999993</v>
      </c>
      <c r="I119" s="17">
        <v>1884.402</v>
      </c>
      <c r="J119" s="20" t="s">
        <v>477</v>
      </c>
      <c r="K119" s="18">
        <v>0.11700000000000001</v>
      </c>
    </row>
    <row r="120" spans="1:11" x14ac:dyDescent="0.3">
      <c r="A120" s="9" t="s">
        <v>189</v>
      </c>
      <c r="B120" s="11">
        <v>23184</v>
      </c>
      <c r="C120" s="14" t="s">
        <v>405</v>
      </c>
      <c r="D120" s="9" t="s">
        <v>458</v>
      </c>
      <c r="E120" s="12">
        <v>0.18</v>
      </c>
      <c r="F120" s="12">
        <v>0.65</v>
      </c>
      <c r="G120" s="11">
        <v>2712.5279999999998</v>
      </c>
      <c r="H120" s="11">
        <v>225.139824</v>
      </c>
      <c r="I120" s="11">
        <v>5425.0559999999996</v>
      </c>
      <c r="J120" s="14" t="s">
        <v>477</v>
      </c>
      <c r="K120" s="12">
        <v>0.11700000000000001</v>
      </c>
    </row>
    <row r="121" spans="1:11" x14ac:dyDescent="0.3">
      <c r="A121" s="15" t="s">
        <v>190</v>
      </c>
      <c r="B121" s="17">
        <v>33222</v>
      </c>
      <c r="C121" s="20" t="s">
        <v>405</v>
      </c>
      <c r="D121" s="15" t="s">
        <v>458</v>
      </c>
      <c r="E121" s="18">
        <v>0.18</v>
      </c>
      <c r="F121" s="18">
        <v>0.65</v>
      </c>
      <c r="G121" s="17">
        <v>3886.9740000000002</v>
      </c>
      <c r="H121" s="17">
        <v>322.61884199999997</v>
      </c>
      <c r="I121" s="17">
        <v>7773.9480000000003</v>
      </c>
      <c r="J121" s="20" t="s">
        <v>477</v>
      </c>
      <c r="K121" s="18">
        <v>0.11700000000000001</v>
      </c>
    </row>
    <row r="122" spans="1:11" x14ac:dyDescent="0.3">
      <c r="A122" s="9" t="s">
        <v>191</v>
      </c>
      <c r="B122" s="11">
        <v>18521</v>
      </c>
      <c r="C122" s="14" t="s">
        <v>405</v>
      </c>
      <c r="D122" s="9" t="s">
        <v>458</v>
      </c>
      <c r="E122" s="12">
        <v>0.18</v>
      </c>
      <c r="F122" s="12">
        <v>0.65</v>
      </c>
      <c r="G122" s="11">
        <v>2166.9569999999999</v>
      </c>
      <c r="H122" s="11">
        <v>179.85743099999999</v>
      </c>
      <c r="I122" s="11">
        <v>4333.9139999999998</v>
      </c>
      <c r="J122" s="14" t="s">
        <v>477</v>
      </c>
      <c r="K122" s="12">
        <v>0.11700000000000001</v>
      </c>
    </row>
    <row r="123" spans="1:11" x14ac:dyDescent="0.3">
      <c r="A123" s="15" t="s">
        <v>192</v>
      </c>
      <c r="B123" s="17">
        <v>25201</v>
      </c>
      <c r="C123" s="20" t="s">
        <v>405</v>
      </c>
      <c r="D123" s="15" t="s">
        <v>458</v>
      </c>
      <c r="E123" s="18">
        <v>0.18</v>
      </c>
      <c r="F123" s="18">
        <v>0.65</v>
      </c>
      <c r="G123" s="17">
        <v>2948.5169999999998</v>
      </c>
      <c r="H123" s="17">
        <v>244.726911</v>
      </c>
      <c r="I123" s="17">
        <v>5897.0339999999997</v>
      </c>
      <c r="J123" s="20" t="s">
        <v>477</v>
      </c>
      <c r="K123" s="18">
        <v>0.11700000000000001</v>
      </c>
    </row>
    <row r="124" spans="1:11" x14ac:dyDescent="0.3">
      <c r="A124" s="9" t="s">
        <v>193</v>
      </c>
      <c r="B124" s="11">
        <v>13035</v>
      </c>
      <c r="C124" s="14" t="s">
        <v>405</v>
      </c>
      <c r="D124" s="9" t="s">
        <v>458</v>
      </c>
      <c r="E124" s="12">
        <v>0.18</v>
      </c>
      <c r="F124" s="12">
        <v>0.65</v>
      </c>
      <c r="G124" s="11">
        <v>1525.095</v>
      </c>
      <c r="H124" s="11">
        <v>126.582885</v>
      </c>
      <c r="I124" s="11">
        <v>3050.19</v>
      </c>
      <c r="J124" s="14" t="s">
        <v>477</v>
      </c>
      <c r="K124" s="12">
        <v>0.11700000000000001</v>
      </c>
    </row>
    <row r="125" spans="1:11" x14ac:dyDescent="0.3">
      <c r="A125" s="15" t="s">
        <v>194</v>
      </c>
      <c r="B125" s="17">
        <v>19385</v>
      </c>
      <c r="C125" s="39" t="s">
        <v>402</v>
      </c>
      <c r="D125" s="15" t="s">
        <v>453</v>
      </c>
      <c r="E125" s="18">
        <v>0.08</v>
      </c>
      <c r="F125" s="18">
        <v>0.55000000000000004</v>
      </c>
      <c r="G125" s="17">
        <v>852.94</v>
      </c>
      <c r="H125" s="17">
        <v>70.794020000000003</v>
      </c>
      <c r="I125" s="17">
        <v>852.94</v>
      </c>
      <c r="J125" s="66" t="s">
        <v>478</v>
      </c>
      <c r="K125" s="18">
        <v>4.3999999999999997E-2</v>
      </c>
    </row>
    <row r="126" spans="1:11" x14ac:dyDescent="0.3">
      <c r="A126" s="9" t="s">
        <v>195</v>
      </c>
      <c r="B126" s="11">
        <v>7749</v>
      </c>
      <c r="C126" s="14" t="s">
        <v>405</v>
      </c>
      <c r="D126" s="9" t="s">
        <v>458</v>
      </c>
      <c r="E126" s="12">
        <v>0.18</v>
      </c>
      <c r="F126" s="12">
        <v>0.65</v>
      </c>
      <c r="G126" s="11">
        <v>906.63300000000004</v>
      </c>
      <c r="H126" s="11">
        <v>75.250539000000003</v>
      </c>
      <c r="I126" s="11">
        <v>1813.2660000000001</v>
      </c>
      <c r="J126" s="14" t="s">
        <v>477</v>
      </c>
      <c r="K126" s="12">
        <v>0.11700000000000001</v>
      </c>
    </row>
    <row r="127" spans="1:11" x14ac:dyDescent="0.3">
      <c r="A127" s="15" t="s">
        <v>196</v>
      </c>
      <c r="B127" s="17">
        <v>26305</v>
      </c>
      <c r="C127" s="20" t="s">
        <v>405</v>
      </c>
      <c r="D127" s="15" t="s">
        <v>458</v>
      </c>
      <c r="E127" s="18">
        <v>0.18</v>
      </c>
      <c r="F127" s="18">
        <v>0.65</v>
      </c>
      <c r="G127" s="17">
        <v>3077.6849999999999</v>
      </c>
      <c r="H127" s="17">
        <v>255.447855</v>
      </c>
      <c r="I127" s="17">
        <v>6155.37</v>
      </c>
      <c r="J127" s="20" t="s">
        <v>477</v>
      </c>
      <c r="K127" s="18">
        <v>0.11700000000000001</v>
      </c>
    </row>
    <row r="128" spans="1:11" x14ac:dyDescent="0.3">
      <c r="A128" s="9" t="s">
        <v>197</v>
      </c>
      <c r="B128" s="11">
        <v>21279</v>
      </c>
      <c r="C128" s="14" t="s">
        <v>405</v>
      </c>
      <c r="D128" s="9" t="s">
        <v>458</v>
      </c>
      <c r="E128" s="12">
        <v>0.18</v>
      </c>
      <c r="F128" s="12">
        <v>0.65</v>
      </c>
      <c r="G128" s="11">
        <v>2489.643</v>
      </c>
      <c r="H128" s="11">
        <v>206.64036899999999</v>
      </c>
      <c r="I128" s="11">
        <v>4979.2860000000001</v>
      </c>
      <c r="J128" s="14" t="s">
        <v>477</v>
      </c>
      <c r="K128" s="12">
        <v>0.11700000000000001</v>
      </c>
    </row>
    <row r="129" spans="1:11" x14ac:dyDescent="0.3">
      <c r="A129" s="15" t="s">
        <v>198</v>
      </c>
      <c r="B129" s="17">
        <v>10246</v>
      </c>
      <c r="C129" s="20" t="s">
        <v>405</v>
      </c>
      <c r="D129" s="15" t="s">
        <v>458</v>
      </c>
      <c r="E129" s="18">
        <v>0.18</v>
      </c>
      <c r="F129" s="18">
        <v>0.65</v>
      </c>
      <c r="G129" s="17">
        <v>1198.7819999999999</v>
      </c>
      <c r="H129" s="17">
        <v>99.498906000000005</v>
      </c>
      <c r="I129" s="17">
        <v>2397.5639999999999</v>
      </c>
      <c r="J129" s="20" t="s">
        <v>477</v>
      </c>
      <c r="K129" s="18">
        <v>0.11700000000000001</v>
      </c>
    </row>
    <row r="130" spans="1:11" x14ac:dyDescent="0.3">
      <c r="A130" s="9" t="s">
        <v>199</v>
      </c>
      <c r="B130" s="11">
        <v>13585</v>
      </c>
      <c r="C130" s="14" t="s">
        <v>405</v>
      </c>
      <c r="D130" s="9" t="s">
        <v>458</v>
      </c>
      <c r="E130" s="12">
        <v>0.18</v>
      </c>
      <c r="F130" s="12">
        <v>0.65</v>
      </c>
      <c r="G130" s="11">
        <v>1589.4449999999999</v>
      </c>
      <c r="H130" s="11">
        <v>131.923935</v>
      </c>
      <c r="I130" s="11">
        <v>3178.89</v>
      </c>
      <c r="J130" s="14" t="s">
        <v>477</v>
      </c>
      <c r="K130" s="12">
        <v>0.11700000000000001</v>
      </c>
    </row>
    <row r="131" spans="1:11" x14ac:dyDescent="0.3">
      <c r="A131" s="15" t="s">
        <v>200</v>
      </c>
      <c r="B131" s="17">
        <v>20489</v>
      </c>
      <c r="C131" s="20" t="s">
        <v>405</v>
      </c>
      <c r="D131" s="15" t="s">
        <v>458</v>
      </c>
      <c r="E131" s="18">
        <v>0.18</v>
      </c>
      <c r="F131" s="18">
        <v>0.65</v>
      </c>
      <c r="G131" s="17">
        <v>2397.2130000000002</v>
      </c>
      <c r="H131" s="17">
        <v>198.96867900000001</v>
      </c>
      <c r="I131" s="17">
        <v>4794.4260000000004</v>
      </c>
      <c r="J131" s="20" t="s">
        <v>477</v>
      </c>
      <c r="K131" s="18">
        <v>0.11700000000000001</v>
      </c>
    </row>
    <row r="132" spans="1:11" x14ac:dyDescent="0.3">
      <c r="A132" s="9" t="s">
        <v>201</v>
      </c>
      <c r="B132" s="11">
        <v>27391</v>
      </c>
      <c r="C132" s="14" t="s">
        <v>405</v>
      </c>
      <c r="D132" s="9" t="s">
        <v>458</v>
      </c>
      <c r="E132" s="12">
        <v>0.18</v>
      </c>
      <c r="F132" s="12">
        <v>0.65</v>
      </c>
      <c r="G132" s="11">
        <v>3204.7469999999998</v>
      </c>
      <c r="H132" s="11">
        <v>265.99400100000003</v>
      </c>
      <c r="I132" s="11">
        <v>6409.4939999999997</v>
      </c>
      <c r="J132" s="14" t="s">
        <v>477</v>
      </c>
      <c r="K132" s="12">
        <v>0.11700000000000001</v>
      </c>
    </row>
    <row r="133" spans="1:11" x14ac:dyDescent="0.3">
      <c r="A133" s="15" t="s">
        <v>202</v>
      </c>
      <c r="B133" s="17">
        <v>31836</v>
      </c>
      <c r="C133" s="20" t="s">
        <v>405</v>
      </c>
      <c r="D133" s="15" t="s">
        <v>458</v>
      </c>
      <c r="E133" s="18">
        <v>0.18</v>
      </c>
      <c r="F133" s="18">
        <v>0.65</v>
      </c>
      <c r="G133" s="17">
        <v>3724.8119999999999</v>
      </c>
      <c r="H133" s="17">
        <v>309.15939600000002</v>
      </c>
      <c r="I133" s="17">
        <v>7449.6239999999998</v>
      </c>
      <c r="J133" s="20" t="s">
        <v>477</v>
      </c>
      <c r="K133" s="18">
        <v>0.11700000000000001</v>
      </c>
    </row>
    <row r="134" spans="1:11" x14ac:dyDescent="0.3">
      <c r="A134" s="9" t="s">
        <v>203</v>
      </c>
      <c r="B134" s="11">
        <v>18927</v>
      </c>
      <c r="C134" s="14" t="s">
        <v>405</v>
      </c>
      <c r="D134" s="9" t="s">
        <v>458</v>
      </c>
      <c r="E134" s="12">
        <v>0.18</v>
      </c>
      <c r="F134" s="12">
        <v>0.65</v>
      </c>
      <c r="G134" s="11">
        <v>2214.4589999999998</v>
      </c>
      <c r="H134" s="11">
        <v>183.80009699999999</v>
      </c>
      <c r="I134" s="11">
        <v>4428.9179999999997</v>
      </c>
      <c r="J134" s="14" t="s">
        <v>477</v>
      </c>
      <c r="K134" s="12">
        <v>0.11700000000000001</v>
      </c>
    </row>
    <row r="135" spans="1:11" x14ac:dyDescent="0.3">
      <c r="A135" s="15" t="s">
        <v>204</v>
      </c>
      <c r="B135" s="17">
        <v>9083</v>
      </c>
      <c r="C135" s="20" t="s">
        <v>405</v>
      </c>
      <c r="D135" s="15" t="s">
        <v>458</v>
      </c>
      <c r="E135" s="18">
        <v>0.18</v>
      </c>
      <c r="F135" s="18">
        <v>0.65</v>
      </c>
      <c r="G135" s="17">
        <v>1062.711</v>
      </c>
      <c r="H135" s="17">
        <v>88.205012999999994</v>
      </c>
      <c r="I135" s="17">
        <v>2125.422</v>
      </c>
      <c r="J135" s="20" t="s">
        <v>477</v>
      </c>
      <c r="K135" s="18">
        <v>0.11700000000000001</v>
      </c>
    </row>
    <row r="136" spans="1:11" x14ac:dyDescent="0.3">
      <c r="A136" s="9" t="s">
        <v>205</v>
      </c>
      <c r="B136" s="11">
        <v>21908</v>
      </c>
      <c r="C136" s="14" t="s">
        <v>405</v>
      </c>
      <c r="D136" s="9" t="s">
        <v>458</v>
      </c>
      <c r="E136" s="12">
        <v>0.18</v>
      </c>
      <c r="F136" s="12">
        <v>0.65</v>
      </c>
      <c r="G136" s="11">
        <v>2563.2359999999999</v>
      </c>
      <c r="H136" s="11">
        <v>212.74858800000001</v>
      </c>
      <c r="I136" s="11">
        <v>5126.4719999999998</v>
      </c>
      <c r="J136" s="14" t="s">
        <v>477</v>
      </c>
      <c r="K136" s="12">
        <v>0.11700000000000001</v>
      </c>
    </row>
    <row r="137" spans="1:11" x14ac:dyDescent="0.3">
      <c r="A137" s="15" t="s">
        <v>206</v>
      </c>
      <c r="B137" s="17">
        <v>34279</v>
      </c>
      <c r="C137" s="20" t="s">
        <v>405</v>
      </c>
      <c r="D137" s="15" t="s">
        <v>458</v>
      </c>
      <c r="E137" s="18">
        <v>0.18</v>
      </c>
      <c r="F137" s="18">
        <v>0.65</v>
      </c>
      <c r="G137" s="17">
        <v>4010.643</v>
      </c>
      <c r="H137" s="17">
        <v>332.88336900000002</v>
      </c>
      <c r="I137" s="17">
        <v>8021.2860000000001</v>
      </c>
      <c r="J137" s="20" t="s">
        <v>477</v>
      </c>
      <c r="K137" s="18">
        <v>0.11700000000000001</v>
      </c>
    </row>
    <row r="138" spans="1:11" x14ac:dyDescent="0.3">
      <c r="A138" s="9" t="s">
        <v>207</v>
      </c>
      <c r="B138" s="11">
        <v>7018</v>
      </c>
      <c r="C138" s="14" t="s">
        <v>405</v>
      </c>
      <c r="D138" s="9" t="s">
        <v>458</v>
      </c>
      <c r="E138" s="12">
        <v>0.18</v>
      </c>
      <c r="F138" s="12">
        <v>0.65</v>
      </c>
      <c r="G138" s="11">
        <v>821.10599999999999</v>
      </c>
      <c r="H138" s="11">
        <v>68.151797999999999</v>
      </c>
      <c r="I138" s="11">
        <v>1642.212</v>
      </c>
      <c r="J138" s="14" t="s">
        <v>477</v>
      </c>
      <c r="K138" s="12">
        <v>0.11700000000000001</v>
      </c>
    </row>
    <row r="139" spans="1:11" x14ac:dyDescent="0.3">
      <c r="A139" s="15" t="s">
        <v>208</v>
      </c>
      <c r="B139" s="17">
        <v>12363</v>
      </c>
      <c r="C139" s="20" t="s">
        <v>405</v>
      </c>
      <c r="D139" s="15" t="s">
        <v>458</v>
      </c>
      <c r="E139" s="18">
        <v>0.18</v>
      </c>
      <c r="F139" s="18">
        <v>0.65</v>
      </c>
      <c r="G139" s="17">
        <v>1446.471</v>
      </c>
      <c r="H139" s="17">
        <v>120.05709299999999</v>
      </c>
      <c r="I139" s="17">
        <v>2892.942</v>
      </c>
      <c r="J139" s="20" t="s">
        <v>477</v>
      </c>
      <c r="K139" s="18">
        <v>0.11700000000000001</v>
      </c>
    </row>
    <row r="140" spans="1:11" x14ac:dyDescent="0.3">
      <c r="A140" s="9" t="s">
        <v>209</v>
      </c>
      <c r="B140" s="11">
        <v>24888</v>
      </c>
      <c r="C140" s="14" t="s">
        <v>405</v>
      </c>
      <c r="D140" s="9" t="s">
        <v>458</v>
      </c>
      <c r="E140" s="12">
        <v>0.18</v>
      </c>
      <c r="F140" s="12">
        <v>0.65</v>
      </c>
      <c r="G140" s="11">
        <v>2911.8960000000002</v>
      </c>
      <c r="H140" s="11">
        <v>241.68736799999999</v>
      </c>
      <c r="I140" s="11">
        <v>5823.7920000000004</v>
      </c>
      <c r="J140" s="14" t="s">
        <v>477</v>
      </c>
      <c r="K140" s="12">
        <v>0.11700000000000001</v>
      </c>
    </row>
    <row r="141" spans="1:11" x14ac:dyDescent="0.3">
      <c r="A141" s="15" t="s">
        <v>210</v>
      </c>
      <c r="B141" s="17">
        <v>21229</v>
      </c>
      <c r="C141" s="20" t="s">
        <v>405</v>
      </c>
      <c r="D141" s="15" t="s">
        <v>458</v>
      </c>
      <c r="E141" s="18">
        <v>0.18</v>
      </c>
      <c r="F141" s="18">
        <v>0.65</v>
      </c>
      <c r="G141" s="17">
        <v>2483.7930000000001</v>
      </c>
      <c r="H141" s="17">
        <v>206.154819</v>
      </c>
      <c r="I141" s="17">
        <v>4967.5860000000002</v>
      </c>
      <c r="J141" s="20" t="s">
        <v>477</v>
      </c>
      <c r="K141" s="18">
        <v>0.11700000000000001</v>
      </c>
    </row>
    <row r="142" spans="1:11" x14ac:dyDescent="0.3">
      <c r="A142" s="9" t="s">
        <v>211</v>
      </c>
      <c r="B142" s="11">
        <v>15640</v>
      </c>
      <c r="C142" s="14" t="s">
        <v>405</v>
      </c>
      <c r="D142" s="9" t="s">
        <v>458</v>
      </c>
      <c r="E142" s="12">
        <v>0.18</v>
      </c>
      <c r="F142" s="12">
        <v>0.65</v>
      </c>
      <c r="G142" s="11">
        <v>1829.88</v>
      </c>
      <c r="H142" s="11">
        <v>151.88004000000001</v>
      </c>
      <c r="I142" s="11">
        <v>3659.76</v>
      </c>
      <c r="J142" s="14" t="s">
        <v>477</v>
      </c>
      <c r="K142" s="12">
        <v>0.11700000000000001</v>
      </c>
    </row>
    <row r="143" spans="1:11" x14ac:dyDescent="0.3">
      <c r="A143" s="15" t="s">
        <v>212</v>
      </c>
      <c r="B143" s="17">
        <v>21761</v>
      </c>
      <c r="C143" s="20" t="s">
        <v>405</v>
      </c>
      <c r="D143" s="15" t="s">
        <v>458</v>
      </c>
      <c r="E143" s="18">
        <v>0.18</v>
      </c>
      <c r="F143" s="18">
        <v>0.65</v>
      </c>
      <c r="G143" s="17">
        <v>2546.0369999999998</v>
      </c>
      <c r="H143" s="17">
        <v>211.32107099999999</v>
      </c>
      <c r="I143" s="17">
        <v>5092.0739999999996</v>
      </c>
      <c r="J143" s="20" t="s">
        <v>477</v>
      </c>
      <c r="K143" s="18">
        <v>0.11700000000000001</v>
      </c>
    </row>
    <row r="144" spans="1:11" x14ac:dyDescent="0.3">
      <c r="A144" s="9" t="s">
        <v>213</v>
      </c>
      <c r="B144" s="11">
        <v>27820</v>
      </c>
      <c r="C144" s="14" t="s">
        <v>405</v>
      </c>
      <c r="D144" s="9" t="s">
        <v>458</v>
      </c>
      <c r="E144" s="12">
        <v>0.18</v>
      </c>
      <c r="F144" s="12">
        <v>0.65</v>
      </c>
      <c r="G144" s="11">
        <v>3254.94</v>
      </c>
      <c r="H144" s="11">
        <v>270.16001999999997</v>
      </c>
      <c r="I144" s="11">
        <v>6509.88</v>
      </c>
      <c r="J144" s="14" t="s">
        <v>477</v>
      </c>
      <c r="K144" s="12">
        <v>0.11700000000000001</v>
      </c>
    </row>
    <row r="145" spans="1:11" x14ac:dyDescent="0.3">
      <c r="A145" s="15" t="s">
        <v>214</v>
      </c>
      <c r="B145" s="17">
        <v>19213</v>
      </c>
      <c r="C145" s="20" t="s">
        <v>405</v>
      </c>
      <c r="D145" s="15" t="s">
        <v>458</v>
      </c>
      <c r="E145" s="18">
        <v>0.18</v>
      </c>
      <c r="F145" s="18">
        <v>0.65</v>
      </c>
      <c r="G145" s="17">
        <v>2247.9209999999998</v>
      </c>
      <c r="H145" s="17">
        <v>186.57744299999999</v>
      </c>
      <c r="I145" s="17">
        <v>4495.8419999999996</v>
      </c>
      <c r="J145" s="20" t="s">
        <v>477</v>
      </c>
      <c r="K145" s="18">
        <v>0.11700000000000001</v>
      </c>
    </row>
    <row r="146" spans="1:11" x14ac:dyDescent="0.3">
      <c r="A146" s="9" t="s">
        <v>215</v>
      </c>
      <c r="B146" s="11">
        <v>18512</v>
      </c>
      <c r="C146" s="14" t="s">
        <v>405</v>
      </c>
      <c r="D146" s="9" t="s">
        <v>458</v>
      </c>
      <c r="E146" s="12">
        <v>0.18</v>
      </c>
      <c r="F146" s="12">
        <v>0.65</v>
      </c>
      <c r="G146" s="11">
        <v>2165.904</v>
      </c>
      <c r="H146" s="11">
        <v>179.77003199999999</v>
      </c>
      <c r="I146" s="11">
        <v>4331.808</v>
      </c>
      <c r="J146" s="14" t="s">
        <v>477</v>
      </c>
      <c r="K146" s="12">
        <v>0.11700000000000001</v>
      </c>
    </row>
    <row r="147" spans="1:11" x14ac:dyDescent="0.3">
      <c r="A147" s="15" t="s">
        <v>216</v>
      </c>
      <c r="B147" s="17">
        <v>24712</v>
      </c>
      <c r="C147" s="20" t="s">
        <v>405</v>
      </c>
      <c r="D147" s="15" t="s">
        <v>458</v>
      </c>
      <c r="E147" s="18">
        <v>0.18</v>
      </c>
      <c r="F147" s="18">
        <v>0.65</v>
      </c>
      <c r="G147" s="17">
        <v>2891.3040000000001</v>
      </c>
      <c r="H147" s="17">
        <v>239.97823199999999</v>
      </c>
      <c r="I147" s="17">
        <v>5782.6080000000002</v>
      </c>
      <c r="J147" s="20" t="s">
        <v>477</v>
      </c>
      <c r="K147" s="18">
        <v>0.11700000000000001</v>
      </c>
    </row>
    <row r="148" spans="1:11" x14ac:dyDescent="0.3">
      <c r="A148" s="9" t="s">
        <v>217</v>
      </c>
      <c r="B148" s="11">
        <v>17836</v>
      </c>
      <c r="C148" s="14" t="s">
        <v>405</v>
      </c>
      <c r="D148" s="9" t="s">
        <v>458</v>
      </c>
      <c r="E148" s="12">
        <v>0.18</v>
      </c>
      <c r="F148" s="12">
        <v>0.65</v>
      </c>
      <c r="G148" s="11">
        <v>2086.8119999999999</v>
      </c>
      <c r="H148" s="11">
        <v>173.20539600000001</v>
      </c>
      <c r="I148" s="11">
        <v>4173.6239999999998</v>
      </c>
      <c r="J148" s="14" t="s">
        <v>477</v>
      </c>
      <c r="K148" s="12">
        <v>0.11700000000000001</v>
      </c>
    </row>
    <row r="149" spans="1:11" x14ac:dyDescent="0.3">
      <c r="A149" s="15" t="s">
        <v>218</v>
      </c>
      <c r="B149" s="17">
        <v>29140</v>
      </c>
      <c r="C149" s="20" t="s">
        <v>405</v>
      </c>
      <c r="D149" s="15" t="s">
        <v>458</v>
      </c>
      <c r="E149" s="18">
        <v>0.18</v>
      </c>
      <c r="F149" s="18">
        <v>0.65</v>
      </c>
      <c r="G149" s="17">
        <v>3409.38</v>
      </c>
      <c r="H149" s="17">
        <v>282.97854000000001</v>
      </c>
      <c r="I149" s="17">
        <v>6818.76</v>
      </c>
      <c r="J149" s="20" t="s">
        <v>477</v>
      </c>
      <c r="K149" s="18">
        <v>0.11700000000000001</v>
      </c>
    </row>
    <row r="150" spans="1:11" x14ac:dyDescent="0.3">
      <c r="A150" s="9" t="s">
        <v>219</v>
      </c>
      <c r="B150" s="11">
        <v>36214</v>
      </c>
      <c r="C150" s="14" t="s">
        <v>405</v>
      </c>
      <c r="D150" s="9" t="s">
        <v>458</v>
      </c>
      <c r="E150" s="12">
        <v>0.18</v>
      </c>
      <c r="F150" s="12">
        <v>0.65</v>
      </c>
      <c r="G150" s="11">
        <v>4237.0379999999996</v>
      </c>
      <c r="H150" s="11">
        <v>351.67415399999999</v>
      </c>
      <c r="I150" s="11">
        <v>8474.0759999999991</v>
      </c>
      <c r="J150" s="14" t="s">
        <v>477</v>
      </c>
      <c r="K150" s="12">
        <v>0.11700000000000001</v>
      </c>
    </row>
    <row r="151" spans="1:11" x14ac:dyDescent="0.3">
      <c r="A151" s="15" t="s">
        <v>220</v>
      </c>
      <c r="B151" s="17">
        <v>12856</v>
      </c>
      <c r="C151" s="20" t="s">
        <v>405</v>
      </c>
      <c r="D151" s="15" t="s">
        <v>458</v>
      </c>
      <c r="E151" s="18">
        <v>0.18</v>
      </c>
      <c r="F151" s="18">
        <v>0.65</v>
      </c>
      <c r="G151" s="17">
        <v>1504.152</v>
      </c>
      <c r="H151" s="17">
        <v>124.844616</v>
      </c>
      <c r="I151" s="17">
        <v>3008.3040000000001</v>
      </c>
      <c r="J151" s="20" t="s">
        <v>477</v>
      </c>
      <c r="K151" s="18">
        <v>0.11700000000000001</v>
      </c>
    </row>
    <row r="152" spans="1:11" x14ac:dyDescent="0.3">
      <c r="A152" s="9" t="s">
        <v>221</v>
      </c>
      <c r="B152" s="11">
        <v>10000</v>
      </c>
      <c r="C152" s="14" t="s">
        <v>405</v>
      </c>
      <c r="D152" s="9" t="s">
        <v>458</v>
      </c>
      <c r="E152" s="12">
        <v>0.18</v>
      </c>
      <c r="F152" s="12">
        <v>0.65</v>
      </c>
      <c r="G152" s="11">
        <v>1170</v>
      </c>
      <c r="H152" s="11">
        <v>97.11</v>
      </c>
      <c r="I152" s="11">
        <v>2340</v>
      </c>
      <c r="J152" s="14" t="s">
        <v>477</v>
      </c>
      <c r="K152" s="12">
        <v>0.11700000000000001</v>
      </c>
    </row>
    <row r="153" spans="1:11" x14ac:dyDescent="0.3">
      <c r="A153" s="15" t="s">
        <v>222</v>
      </c>
      <c r="B153" s="17">
        <v>22974</v>
      </c>
      <c r="C153" s="20" t="s">
        <v>405</v>
      </c>
      <c r="D153" s="15" t="s">
        <v>458</v>
      </c>
      <c r="E153" s="18">
        <v>0.18</v>
      </c>
      <c r="F153" s="18">
        <v>0.65</v>
      </c>
      <c r="G153" s="17">
        <v>2687.9580000000001</v>
      </c>
      <c r="H153" s="17">
        <v>223.100514</v>
      </c>
      <c r="I153" s="17">
        <v>5375.9160000000002</v>
      </c>
      <c r="J153" s="20" t="s">
        <v>477</v>
      </c>
      <c r="K153" s="18">
        <v>0.11700000000000001</v>
      </c>
    </row>
    <row r="154" spans="1:11" x14ac:dyDescent="0.3">
      <c r="A154" s="9" t="s">
        <v>223</v>
      </c>
      <c r="B154" s="11">
        <v>9716</v>
      </c>
      <c r="C154" s="14" t="s">
        <v>405</v>
      </c>
      <c r="D154" s="9" t="s">
        <v>458</v>
      </c>
      <c r="E154" s="12">
        <v>0.18</v>
      </c>
      <c r="F154" s="12">
        <v>0.65</v>
      </c>
      <c r="G154" s="11">
        <v>1136.7719999999999</v>
      </c>
      <c r="H154" s="11">
        <v>94.352075999999997</v>
      </c>
      <c r="I154" s="11">
        <v>2273.5439999999999</v>
      </c>
      <c r="J154" s="14" t="s">
        <v>477</v>
      </c>
      <c r="K154" s="12">
        <v>0.11700000000000001</v>
      </c>
    </row>
    <row r="155" spans="1:11" x14ac:dyDescent="0.3">
      <c r="A155" s="15" t="s">
        <v>224</v>
      </c>
      <c r="B155" s="17">
        <v>9579</v>
      </c>
      <c r="C155" s="39" t="s">
        <v>402</v>
      </c>
      <c r="D155" s="15" t="s">
        <v>453</v>
      </c>
      <c r="E155" s="18">
        <v>0.08</v>
      </c>
      <c r="F155" s="18">
        <v>0.55000000000000004</v>
      </c>
      <c r="G155" s="17">
        <v>421.476</v>
      </c>
      <c r="H155" s="17">
        <v>34.982508000000003</v>
      </c>
      <c r="I155" s="17">
        <v>421.476</v>
      </c>
      <c r="J155" s="66" t="s">
        <v>478</v>
      </c>
      <c r="K155" s="18">
        <v>4.3999999999999997E-2</v>
      </c>
    </row>
    <row r="156" spans="1:11" x14ac:dyDescent="0.3">
      <c r="A156" s="9" t="s">
        <v>225</v>
      </c>
      <c r="B156" s="11">
        <v>3606</v>
      </c>
      <c r="C156" s="14" t="s">
        <v>405</v>
      </c>
      <c r="D156" s="9" t="s">
        <v>458</v>
      </c>
      <c r="E156" s="12">
        <v>0.18</v>
      </c>
      <c r="F156" s="12">
        <v>0.65</v>
      </c>
      <c r="G156" s="11">
        <v>421.90199999999999</v>
      </c>
      <c r="H156" s="11">
        <v>35.017865999999998</v>
      </c>
      <c r="I156" s="11">
        <v>843.80399999999997</v>
      </c>
      <c r="J156" s="14" t="s">
        <v>477</v>
      </c>
      <c r="K156" s="12">
        <v>0.11700000000000001</v>
      </c>
    </row>
    <row r="157" spans="1:11" x14ac:dyDescent="0.3">
      <c r="A157" s="15" t="s">
        <v>226</v>
      </c>
      <c r="B157" s="17">
        <v>16942</v>
      </c>
      <c r="C157" s="20" t="s">
        <v>405</v>
      </c>
      <c r="D157" s="15" t="s">
        <v>458</v>
      </c>
      <c r="E157" s="18">
        <v>0.18</v>
      </c>
      <c r="F157" s="18">
        <v>0.65</v>
      </c>
      <c r="G157" s="17">
        <v>1982.2139999999999</v>
      </c>
      <c r="H157" s="17">
        <v>164.523762</v>
      </c>
      <c r="I157" s="17">
        <v>3964.4279999999999</v>
      </c>
      <c r="J157" s="20" t="s">
        <v>477</v>
      </c>
      <c r="K157" s="18">
        <v>0.11700000000000001</v>
      </c>
    </row>
    <row r="158" spans="1:11" x14ac:dyDescent="0.3">
      <c r="A158" s="9" t="s">
        <v>227</v>
      </c>
      <c r="B158" s="11">
        <v>19736</v>
      </c>
      <c r="C158" s="14" t="s">
        <v>405</v>
      </c>
      <c r="D158" s="9" t="s">
        <v>458</v>
      </c>
      <c r="E158" s="12">
        <v>0.18</v>
      </c>
      <c r="F158" s="12">
        <v>0.65</v>
      </c>
      <c r="G158" s="11">
        <v>2309.1120000000001</v>
      </c>
      <c r="H158" s="11">
        <v>191.656296</v>
      </c>
      <c r="I158" s="11">
        <v>4618.2240000000002</v>
      </c>
      <c r="J158" s="14" t="s">
        <v>477</v>
      </c>
      <c r="K158" s="12">
        <v>0.11700000000000001</v>
      </c>
    </row>
    <row r="159" spans="1:11" x14ac:dyDescent="0.3">
      <c r="A159" s="15" t="s">
        <v>228</v>
      </c>
      <c r="B159" s="17">
        <v>15861</v>
      </c>
      <c r="C159" s="20" t="s">
        <v>405</v>
      </c>
      <c r="D159" s="15" t="s">
        <v>458</v>
      </c>
      <c r="E159" s="18">
        <v>0.18</v>
      </c>
      <c r="F159" s="18">
        <v>0.65</v>
      </c>
      <c r="G159" s="17">
        <v>1855.7370000000001</v>
      </c>
      <c r="H159" s="17">
        <v>154.02617100000001</v>
      </c>
      <c r="I159" s="17">
        <v>3711.4740000000002</v>
      </c>
      <c r="J159" s="20" t="s">
        <v>477</v>
      </c>
      <c r="K159" s="18">
        <v>0.11700000000000001</v>
      </c>
    </row>
    <row r="160" spans="1:11" x14ac:dyDescent="0.3">
      <c r="A160" s="9" t="s">
        <v>229</v>
      </c>
      <c r="B160" s="11">
        <v>31123</v>
      </c>
      <c r="C160" s="14" t="s">
        <v>405</v>
      </c>
      <c r="D160" s="9" t="s">
        <v>458</v>
      </c>
      <c r="E160" s="12">
        <v>0.18</v>
      </c>
      <c r="F160" s="12">
        <v>0.65</v>
      </c>
      <c r="G160" s="11">
        <v>3641.3910000000001</v>
      </c>
      <c r="H160" s="11">
        <v>302.23545300000001</v>
      </c>
      <c r="I160" s="11">
        <v>7282.7820000000002</v>
      </c>
      <c r="J160" s="14" t="s">
        <v>477</v>
      </c>
      <c r="K160" s="12">
        <v>0.11700000000000001</v>
      </c>
    </row>
    <row r="161" spans="1:11" x14ac:dyDescent="0.3">
      <c r="A161" s="15" t="s">
        <v>230</v>
      </c>
      <c r="B161" s="17">
        <v>30527</v>
      </c>
      <c r="C161" s="20" t="s">
        <v>405</v>
      </c>
      <c r="D161" s="15" t="s">
        <v>458</v>
      </c>
      <c r="E161" s="18">
        <v>0.18</v>
      </c>
      <c r="F161" s="18">
        <v>0.65</v>
      </c>
      <c r="G161" s="17">
        <v>3571.6590000000001</v>
      </c>
      <c r="H161" s="17">
        <v>296.44769700000001</v>
      </c>
      <c r="I161" s="17">
        <v>7143.3180000000002</v>
      </c>
      <c r="J161" s="20" t="s">
        <v>477</v>
      </c>
      <c r="K161" s="18">
        <v>0.11700000000000001</v>
      </c>
    </row>
    <row r="162" spans="1:11" x14ac:dyDescent="0.3">
      <c r="A162" s="9" t="s">
        <v>231</v>
      </c>
      <c r="B162" s="11">
        <v>35431</v>
      </c>
      <c r="C162" s="14" t="s">
        <v>405</v>
      </c>
      <c r="D162" s="9" t="s">
        <v>458</v>
      </c>
      <c r="E162" s="12">
        <v>0.18</v>
      </c>
      <c r="F162" s="12">
        <v>0.65</v>
      </c>
      <c r="G162" s="11">
        <v>4145.4269999999997</v>
      </c>
      <c r="H162" s="11">
        <v>344.07044100000002</v>
      </c>
      <c r="I162" s="11">
        <v>8290.8539999999994</v>
      </c>
      <c r="J162" s="14" t="s">
        <v>477</v>
      </c>
      <c r="K162" s="12">
        <v>0.11700000000000001</v>
      </c>
    </row>
    <row r="163" spans="1:11" x14ac:dyDescent="0.3">
      <c r="A163" s="15" t="s">
        <v>232</v>
      </c>
      <c r="B163" s="17">
        <v>20372</v>
      </c>
      <c r="C163" s="20" t="s">
        <v>405</v>
      </c>
      <c r="D163" s="15" t="s">
        <v>458</v>
      </c>
      <c r="E163" s="18">
        <v>0.18</v>
      </c>
      <c r="F163" s="18">
        <v>0.65</v>
      </c>
      <c r="G163" s="17">
        <v>2383.5239999999999</v>
      </c>
      <c r="H163" s="17">
        <v>197.832492</v>
      </c>
      <c r="I163" s="17">
        <v>4767.0479999999998</v>
      </c>
      <c r="J163" s="20" t="s">
        <v>477</v>
      </c>
      <c r="K163" s="18">
        <v>0.11700000000000001</v>
      </c>
    </row>
    <row r="164" spans="1:11" x14ac:dyDescent="0.3">
      <c r="A164" s="9" t="s">
        <v>233</v>
      </c>
      <c r="B164" s="11">
        <v>29471</v>
      </c>
      <c r="C164" s="14" t="s">
        <v>405</v>
      </c>
      <c r="D164" s="9" t="s">
        <v>458</v>
      </c>
      <c r="E164" s="12">
        <v>0.18</v>
      </c>
      <c r="F164" s="12">
        <v>0.65</v>
      </c>
      <c r="G164" s="11">
        <v>3448.107</v>
      </c>
      <c r="H164" s="11">
        <v>286.192881</v>
      </c>
      <c r="I164" s="11">
        <v>6896.2139999999999</v>
      </c>
      <c r="J164" s="14" t="s">
        <v>477</v>
      </c>
      <c r="K164" s="12">
        <v>0.11700000000000001</v>
      </c>
    </row>
    <row r="165" spans="1:11" x14ac:dyDescent="0.3">
      <c r="A165" s="15" t="s">
        <v>234</v>
      </c>
      <c r="B165" s="17">
        <v>22471</v>
      </c>
      <c r="C165" s="20" t="s">
        <v>405</v>
      </c>
      <c r="D165" s="15" t="s">
        <v>458</v>
      </c>
      <c r="E165" s="18">
        <v>0.18</v>
      </c>
      <c r="F165" s="18">
        <v>0.65</v>
      </c>
      <c r="G165" s="17">
        <v>2629.107</v>
      </c>
      <c r="H165" s="17">
        <v>218.215881</v>
      </c>
      <c r="I165" s="17">
        <v>5258.2139999999999</v>
      </c>
      <c r="J165" s="20" t="s">
        <v>477</v>
      </c>
      <c r="K165" s="18">
        <v>0.11700000000000001</v>
      </c>
    </row>
    <row r="166" spans="1:11" x14ac:dyDescent="0.3">
      <c r="A166" s="9" t="s">
        <v>235</v>
      </c>
      <c r="B166" s="11">
        <v>21667</v>
      </c>
      <c r="C166" s="14" t="s">
        <v>405</v>
      </c>
      <c r="D166" s="9" t="s">
        <v>458</v>
      </c>
      <c r="E166" s="12">
        <v>0.18</v>
      </c>
      <c r="F166" s="12">
        <v>0.65</v>
      </c>
      <c r="G166" s="11">
        <v>2535.0390000000002</v>
      </c>
      <c r="H166" s="11">
        <v>210.40823700000001</v>
      </c>
      <c r="I166" s="11">
        <v>5070.0780000000004</v>
      </c>
      <c r="J166" s="14" t="s">
        <v>477</v>
      </c>
      <c r="K166" s="12">
        <v>0.11700000000000001</v>
      </c>
    </row>
    <row r="167" spans="1:11" x14ac:dyDescent="0.3">
      <c r="A167" s="15" t="s">
        <v>236</v>
      </c>
      <c r="B167" s="17">
        <v>16261</v>
      </c>
      <c r="C167" s="20" t="s">
        <v>405</v>
      </c>
      <c r="D167" s="15" t="s">
        <v>458</v>
      </c>
      <c r="E167" s="18">
        <v>0.18</v>
      </c>
      <c r="F167" s="18">
        <v>0.65</v>
      </c>
      <c r="G167" s="17">
        <v>1902.537</v>
      </c>
      <c r="H167" s="17">
        <v>157.910571</v>
      </c>
      <c r="I167" s="17">
        <v>3805.0740000000001</v>
      </c>
      <c r="J167" s="20" t="s">
        <v>477</v>
      </c>
      <c r="K167" s="18">
        <v>0.11700000000000001</v>
      </c>
    </row>
    <row r="168" spans="1:11" x14ac:dyDescent="0.3">
      <c r="A168" s="9" t="s">
        <v>237</v>
      </c>
      <c r="B168" s="11">
        <v>1895</v>
      </c>
      <c r="C168" s="14" t="s">
        <v>405</v>
      </c>
      <c r="D168" s="9" t="s">
        <v>458</v>
      </c>
      <c r="E168" s="12">
        <v>0.18</v>
      </c>
      <c r="F168" s="12">
        <v>0.65</v>
      </c>
      <c r="G168" s="11">
        <v>221.715</v>
      </c>
      <c r="H168" s="11">
        <v>18.402345</v>
      </c>
      <c r="I168" s="11">
        <v>443.43</v>
      </c>
      <c r="J168" s="14" t="s">
        <v>477</v>
      </c>
      <c r="K168" s="12">
        <v>0.11700000000000001</v>
      </c>
    </row>
    <row r="169" spans="1:11" x14ac:dyDescent="0.3">
      <c r="A169" s="15" t="s">
        <v>238</v>
      </c>
      <c r="B169" s="17">
        <v>25098</v>
      </c>
      <c r="C169" s="20" t="s">
        <v>405</v>
      </c>
      <c r="D169" s="15" t="s">
        <v>458</v>
      </c>
      <c r="E169" s="18">
        <v>0.18</v>
      </c>
      <c r="F169" s="18">
        <v>0.65</v>
      </c>
      <c r="G169" s="17">
        <v>2936.4659999999999</v>
      </c>
      <c r="H169" s="17">
        <v>243.72667799999999</v>
      </c>
      <c r="I169" s="17">
        <v>5872.9319999999998</v>
      </c>
      <c r="J169" s="20" t="s">
        <v>477</v>
      </c>
      <c r="K169" s="18">
        <v>0.11700000000000001</v>
      </c>
    </row>
    <row r="170" spans="1:11" x14ac:dyDescent="0.3">
      <c r="A170" s="9" t="s">
        <v>239</v>
      </c>
      <c r="B170" s="11">
        <v>29233</v>
      </c>
      <c r="C170" s="14" t="s">
        <v>405</v>
      </c>
      <c r="D170" s="9" t="s">
        <v>458</v>
      </c>
      <c r="E170" s="12">
        <v>0.18</v>
      </c>
      <c r="F170" s="12">
        <v>0.65</v>
      </c>
      <c r="G170" s="11">
        <v>3420.261</v>
      </c>
      <c r="H170" s="11">
        <v>283.881663</v>
      </c>
      <c r="I170" s="11">
        <v>6840.5219999999999</v>
      </c>
      <c r="J170" s="14" t="s">
        <v>477</v>
      </c>
      <c r="K170" s="12">
        <v>0.11700000000000001</v>
      </c>
    </row>
    <row r="171" spans="1:11" x14ac:dyDescent="0.3">
      <c r="A171" s="15" t="s">
        <v>240</v>
      </c>
      <c r="B171" s="17">
        <v>7795</v>
      </c>
      <c r="C171" s="20" t="s">
        <v>405</v>
      </c>
      <c r="D171" s="15" t="s">
        <v>458</v>
      </c>
      <c r="E171" s="18">
        <v>0.18</v>
      </c>
      <c r="F171" s="18">
        <v>0.65</v>
      </c>
      <c r="G171" s="17">
        <v>912.01499999999999</v>
      </c>
      <c r="H171" s="17">
        <v>75.697244999999995</v>
      </c>
      <c r="I171" s="17">
        <v>1824.03</v>
      </c>
      <c r="J171" s="20" t="s">
        <v>477</v>
      </c>
      <c r="K171" s="18">
        <v>0.11700000000000001</v>
      </c>
    </row>
    <row r="172" spans="1:11" x14ac:dyDescent="0.3">
      <c r="A172" s="9" t="s">
        <v>241</v>
      </c>
      <c r="B172" s="11">
        <v>19922</v>
      </c>
      <c r="C172" s="14" t="s">
        <v>405</v>
      </c>
      <c r="D172" s="9" t="s">
        <v>458</v>
      </c>
      <c r="E172" s="12">
        <v>0.18</v>
      </c>
      <c r="F172" s="12">
        <v>0.65</v>
      </c>
      <c r="G172" s="11">
        <v>2330.8739999999998</v>
      </c>
      <c r="H172" s="11">
        <v>193.46254200000001</v>
      </c>
      <c r="I172" s="11">
        <v>4661.7479999999996</v>
      </c>
      <c r="J172" s="14" t="s">
        <v>477</v>
      </c>
      <c r="K172" s="12">
        <v>0.11700000000000001</v>
      </c>
    </row>
    <row r="173" spans="1:11" x14ac:dyDescent="0.3">
      <c r="A173" s="15" t="s">
        <v>242</v>
      </c>
      <c r="B173" s="17">
        <v>27933</v>
      </c>
      <c r="C173" s="20" t="s">
        <v>405</v>
      </c>
      <c r="D173" s="15" t="s">
        <v>458</v>
      </c>
      <c r="E173" s="18">
        <v>0.18</v>
      </c>
      <c r="F173" s="18">
        <v>0.65</v>
      </c>
      <c r="G173" s="17">
        <v>3268.1610000000001</v>
      </c>
      <c r="H173" s="17">
        <v>271.257363</v>
      </c>
      <c r="I173" s="17">
        <v>6536.3220000000001</v>
      </c>
      <c r="J173" s="20" t="s">
        <v>477</v>
      </c>
      <c r="K173" s="18">
        <v>0.11700000000000001</v>
      </c>
    </row>
    <row r="174" spans="1:11" x14ac:dyDescent="0.3">
      <c r="A174" s="9" t="s">
        <v>243</v>
      </c>
      <c r="B174" s="11">
        <v>17124</v>
      </c>
      <c r="C174" s="14" t="s">
        <v>405</v>
      </c>
      <c r="D174" s="9" t="s">
        <v>458</v>
      </c>
      <c r="E174" s="12">
        <v>0.18</v>
      </c>
      <c r="F174" s="12">
        <v>0.65</v>
      </c>
      <c r="G174" s="11">
        <v>2003.508</v>
      </c>
      <c r="H174" s="11">
        <v>166.29116400000001</v>
      </c>
      <c r="I174" s="11">
        <v>4007.0160000000001</v>
      </c>
      <c r="J174" s="14" t="s">
        <v>477</v>
      </c>
      <c r="K174" s="12">
        <v>0.11700000000000001</v>
      </c>
    </row>
    <row r="175" spans="1:11" x14ac:dyDescent="0.3">
      <c r="A175" s="15" t="s">
        <v>244</v>
      </c>
      <c r="B175" s="17">
        <v>29545</v>
      </c>
      <c r="C175" s="39" t="s">
        <v>402</v>
      </c>
      <c r="D175" s="15" t="s">
        <v>453</v>
      </c>
      <c r="E175" s="18">
        <v>0.08</v>
      </c>
      <c r="F175" s="18">
        <v>0.55000000000000004</v>
      </c>
      <c r="G175" s="17">
        <v>1299.98</v>
      </c>
      <c r="H175" s="17">
        <v>107.89834</v>
      </c>
      <c r="I175" s="17">
        <v>1299.98</v>
      </c>
      <c r="J175" s="66" t="s">
        <v>478</v>
      </c>
      <c r="K175" s="18">
        <v>4.3999999999999997E-2</v>
      </c>
    </row>
    <row r="176" spans="1:11" x14ac:dyDescent="0.3">
      <c r="A176" s="9" t="s">
        <v>245</v>
      </c>
      <c r="B176" s="11">
        <v>18878</v>
      </c>
      <c r="C176" s="14" t="s">
        <v>405</v>
      </c>
      <c r="D176" s="9" t="s">
        <v>458</v>
      </c>
      <c r="E176" s="12">
        <v>0.18</v>
      </c>
      <c r="F176" s="12">
        <v>0.65</v>
      </c>
      <c r="G176" s="11">
        <v>2208.7260000000001</v>
      </c>
      <c r="H176" s="11">
        <v>183.32425799999999</v>
      </c>
      <c r="I176" s="11">
        <v>4417.4520000000002</v>
      </c>
      <c r="J176" s="14" t="s">
        <v>477</v>
      </c>
      <c r="K176" s="12">
        <v>0.11700000000000001</v>
      </c>
    </row>
    <row r="177" spans="1:11" x14ac:dyDescent="0.3">
      <c r="A177" s="15" t="s">
        <v>246</v>
      </c>
      <c r="B177" s="17">
        <v>15799</v>
      </c>
      <c r="C177" s="39" t="s">
        <v>402</v>
      </c>
      <c r="D177" s="15" t="s">
        <v>453</v>
      </c>
      <c r="E177" s="18">
        <v>0.08</v>
      </c>
      <c r="F177" s="18">
        <v>0.55000000000000004</v>
      </c>
      <c r="G177" s="17">
        <v>695.15599999999995</v>
      </c>
      <c r="H177" s="17">
        <v>57.697947999999997</v>
      </c>
      <c r="I177" s="17">
        <v>695.15599999999995</v>
      </c>
      <c r="J177" s="66" t="s">
        <v>478</v>
      </c>
      <c r="K177" s="18">
        <v>4.3999999999999997E-2</v>
      </c>
    </row>
    <row r="178" spans="1:11" x14ac:dyDescent="0.3">
      <c r="A178" s="9" t="s">
        <v>247</v>
      </c>
      <c r="B178" s="11">
        <v>30002</v>
      </c>
      <c r="C178" s="14" t="s">
        <v>405</v>
      </c>
      <c r="D178" s="9" t="s">
        <v>458</v>
      </c>
      <c r="E178" s="12">
        <v>0.18</v>
      </c>
      <c r="F178" s="12">
        <v>0.65</v>
      </c>
      <c r="G178" s="11">
        <v>3510.2339999999999</v>
      </c>
      <c r="H178" s="11">
        <v>291.349422</v>
      </c>
      <c r="I178" s="11">
        <v>7020.4679999999998</v>
      </c>
      <c r="J178" s="14" t="s">
        <v>477</v>
      </c>
      <c r="K178" s="12">
        <v>0.11700000000000001</v>
      </c>
    </row>
    <row r="179" spans="1:11" x14ac:dyDescent="0.3">
      <c r="A179" s="15" t="s">
        <v>248</v>
      </c>
      <c r="B179" s="17">
        <v>12530</v>
      </c>
      <c r="C179" s="20" t="s">
        <v>405</v>
      </c>
      <c r="D179" s="15" t="s">
        <v>458</v>
      </c>
      <c r="E179" s="18">
        <v>0.18</v>
      </c>
      <c r="F179" s="18">
        <v>0.65</v>
      </c>
      <c r="G179" s="17">
        <v>1466.01</v>
      </c>
      <c r="H179" s="17">
        <v>121.67883</v>
      </c>
      <c r="I179" s="17">
        <v>2932.02</v>
      </c>
      <c r="J179" s="20" t="s">
        <v>477</v>
      </c>
      <c r="K179" s="18">
        <v>0.11700000000000001</v>
      </c>
    </row>
    <row r="180" spans="1:11" x14ac:dyDescent="0.3">
      <c r="A180" s="9" t="s">
        <v>249</v>
      </c>
      <c r="B180" s="11">
        <v>14201</v>
      </c>
      <c r="C180" s="14" t="s">
        <v>405</v>
      </c>
      <c r="D180" s="9" t="s">
        <v>458</v>
      </c>
      <c r="E180" s="12">
        <v>0.18</v>
      </c>
      <c r="F180" s="12">
        <v>0.65</v>
      </c>
      <c r="G180" s="11">
        <v>1661.5170000000001</v>
      </c>
      <c r="H180" s="11">
        <v>137.905911</v>
      </c>
      <c r="I180" s="11">
        <v>3323.0340000000001</v>
      </c>
      <c r="J180" s="14" t="s">
        <v>477</v>
      </c>
      <c r="K180" s="12">
        <v>0.11700000000000001</v>
      </c>
    </row>
    <row r="181" spans="1:11" x14ac:dyDescent="0.3">
      <c r="A181" s="15" t="s">
        <v>250</v>
      </c>
      <c r="B181" s="17">
        <v>12836</v>
      </c>
      <c r="C181" s="20" t="s">
        <v>405</v>
      </c>
      <c r="D181" s="15" t="s">
        <v>458</v>
      </c>
      <c r="E181" s="18">
        <v>0.18</v>
      </c>
      <c r="F181" s="18">
        <v>0.65</v>
      </c>
      <c r="G181" s="17">
        <v>1501.8119999999999</v>
      </c>
      <c r="H181" s="17">
        <v>124.650396</v>
      </c>
      <c r="I181" s="17">
        <v>3003.6239999999998</v>
      </c>
      <c r="J181" s="20" t="s">
        <v>477</v>
      </c>
      <c r="K181" s="18">
        <v>0.11700000000000001</v>
      </c>
    </row>
    <row r="182" spans="1:11" x14ac:dyDescent="0.3">
      <c r="A182" s="9" t="s">
        <v>251</v>
      </c>
      <c r="B182" s="11">
        <v>10859</v>
      </c>
      <c r="C182" s="38" t="s">
        <v>402</v>
      </c>
      <c r="D182" s="9" t="s">
        <v>453</v>
      </c>
      <c r="E182" s="12">
        <v>0.08</v>
      </c>
      <c r="F182" s="12">
        <v>0.55000000000000004</v>
      </c>
      <c r="G182" s="11">
        <v>477.79599999999999</v>
      </c>
      <c r="H182" s="11">
        <v>39.657068000000002</v>
      </c>
      <c r="I182" s="11">
        <v>477.79599999999999</v>
      </c>
      <c r="J182" s="65" t="s">
        <v>478</v>
      </c>
      <c r="K182" s="12">
        <v>4.3999999999999997E-2</v>
      </c>
    </row>
    <row r="183" spans="1:11" x14ac:dyDescent="0.3">
      <c r="A183" s="15" t="s">
        <v>252</v>
      </c>
      <c r="B183" s="17">
        <v>21224</v>
      </c>
      <c r="C183" s="20" t="s">
        <v>405</v>
      </c>
      <c r="D183" s="15" t="s">
        <v>458</v>
      </c>
      <c r="E183" s="18">
        <v>0.18</v>
      </c>
      <c r="F183" s="18">
        <v>0.65</v>
      </c>
      <c r="G183" s="17">
        <v>2483.2080000000001</v>
      </c>
      <c r="H183" s="17">
        <v>206.10626400000001</v>
      </c>
      <c r="I183" s="17">
        <v>4966.4160000000002</v>
      </c>
      <c r="J183" s="20" t="s">
        <v>477</v>
      </c>
      <c r="K183" s="18">
        <v>0.11700000000000001</v>
      </c>
    </row>
    <row r="184" spans="1:11" x14ac:dyDescent="0.3">
      <c r="A184" s="9" t="s">
        <v>253</v>
      </c>
      <c r="B184" s="11">
        <v>15897</v>
      </c>
      <c r="C184" s="14" t="s">
        <v>405</v>
      </c>
      <c r="D184" s="9" t="s">
        <v>458</v>
      </c>
      <c r="E184" s="12">
        <v>0.18</v>
      </c>
      <c r="F184" s="12">
        <v>0.65</v>
      </c>
      <c r="G184" s="11">
        <v>1859.9490000000001</v>
      </c>
      <c r="H184" s="11">
        <v>154.375767</v>
      </c>
      <c r="I184" s="11">
        <v>3719.8980000000001</v>
      </c>
      <c r="J184" s="14" t="s">
        <v>477</v>
      </c>
      <c r="K184" s="12">
        <v>0.11700000000000001</v>
      </c>
    </row>
    <row r="185" spans="1:11" x14ac:dyDescent="0.3">
      <c r="A185" s="15" t="s">
        <v>254</v>
      </c>
      <c r="B185" s="17">
        <v>23909</v>
      </c>
      <c r="C185" s="20" t="s">
        <v>405</v>
      </c>
      <c r="D185" s="15" t="s">
        <v>458</v>
      </c>
      <c r="E185" s="18">
        <v>0.18</v>
      </c>
      <c r="F185" s="18">
        <v>0.65</v>
      </c>
      <c r="G185" s="17">
        <v>2797.3530000000001</v>
      </c>
      <c r="H185" s="17">
        <v>232.18029899999999</v>
      </c>
      <c r="I185" s="17">
        <v>5594.7060000000001</v>
      </c>
      <c r="J185" s="20" t="s">
        <v>477</v>
      </c>
      <c r="K185" s="18">
        <v>0.11700000000000001</v>
      </c>
    </row>
    <row r="186" spans="1:11" x14ac:dyDescent="0.3">
      <c r="A186" s="9" t="s">
        <v>255</v>
      </c>
      <c r="B186" s="11">
        <v>6123</v>
      </c>
      <c r="C186" s="14" t="s">
        <v>405</v>
      </c>
      <c r="D186" s="9" t="s">
        <v>458</v>
      </c>
      <c r="E186" s="12">
        <v>0.18</v>
      </c>
      <c r="F186" s="12">
        <v>0.65</v>
      </c>
      <c r="G186" s="11">
        <v>716.39099999999996</v>
      </c>
      <c r="H186" s="11">
        <v>59.460453000000001</v>
      </c>
      <c r="I186" s="11">
        <v>1432.7819999999999</v>
      </c>
      <c r="J186" s="14" t="s">
        <v>477</v>
      </c>
      <c r="K186" s="12">
        <v>0.11700000000000001</v>
      </c>
    </row>
    <row r="187" spans="1:11" x14ac:dyDescent="0.3">
      <c r="A187" s="15" t="s">
        <v>256</v>
      </c>
      <c r="B187" s="17">
        <v>11020</v>
      </c>
      <c r="C187" s="39" t="s">
        <v>402</v>
      </c>
      <c r="D187" s="15" t="s">
        <v>453</v>
      </c>
      <c r="E187" s="18">
        <v>0.08</v>
      </c>
      <c r="F187" s="18">
        <v>0.55000000000000004</v>
      </c>
      <c r="G187" s="17">
        <v>484.88</v>
      </c>
      <c r="H187" s="17">
        <v>40.245040000000003</v>
      </c>
      <c r="I187" s="17">
        <v>484.88</v>
      </c>
      <c r="J187" s="66" t="s">
        <v>478</v>
      </c>
      <c r="K187" s="18">
        <v>4.3999999999999997E-2</v>
      </c>
    </row>
    <row r="188" spans="1:11" x14ac:dyDescent="0.3">
      <c r="A188" s="9" t="s">
        <v>257</v>
      </c>
      <c r="B188" s="11">
        <v>20413</v>
      </c>
      <c r="C188" s="14" t="s">
        <v>405</v>
      </c>
      <c r="D188" s="9" t="s">
        <v>458</v>
      </c>
      <c r="E188" s="12">
        <v>0.18</v>
      </c>
      <c r="F188" s="12">
        <v>0.65</v>
      </c>
      <c r="G188" s="11">
        <v>2388.3209999999999</v>
      </c>
      <c r="H188" s="11">
        <v>198.23064299999999</v>
      </c>
      <c r="I188" s="11">
        <v>4776.6419999999998</v>
      </c>
      <c r="J188" s="14" t="s">
        <v>477</v>
      </c>
      <c r="K188" s="12">
        <v>0.11700000000000001</v>
      </c>
    </row>
    <row r="189" spans="1:11" x14ac:dyDescent="0.3">
      <c r="A189" s="15" t="s">
        <v>258</v>
      </c>
      <c r="B189" s="17">
        <v>31757</v>
      </c>
      <c r="C189" s="20" t="s">
        <v>405</v>
      </c>
      <c r="D189" s="15" t="s">
        <v>458</v>
      </c>
      <c r="E189" s="18">
        <v>0.18</v>
      </c>
      <c r="F189" s="18">
        <v>0.65</v>
      </c>
      <c r="G189" s="17">
        <v>3715.569</v>
      </c>
      <c r="H189" s="17">
        <v>308.39222699999999</v>
      </c>
      <c r="I189" s="17">
        <v>7431.1379999999999</v>
      </c>
      <c r="J189" s="20" t="s">
        <v>477</v>
      </c>
      <c r="K189" s="18">
        <v>0.11700000000000001</v>
      </c>
    </row>
    <row r="190" spans="1:11" x14ac:dyDescent="0.3">
      <c r="A190" s="9" t="s">
        <v>259</v>
      </c>
      <c r="B190" s="11">
        <v>23028</v>
      </c>
      <c r="C190" s="14" t="s">
        <v>405</v>
      </c>
      <c r="D190" s="9" t="s">
        <v>458</v>
      </c>
      <c r="E190" s="12">
        <v>0.18</v>
      </c>
      <c r="F190" s="12">
        <v>0.65</v>
      </c>
      <c r="G190" s="11">
        <v>2694.2759999999998</v>
      </c>
      <c r="H190" s="11">
        <v>223.624908</v>
      </c>
      <c r="I190" s="11">
        <v>5388.5519999999997</v>
      </c>
      <c r="J190" s="14" t="s">
        <v>477</v>
      </c>
      <c r="K190" s="12">
        <v>0.11700000000000001</v>
      </c>
    </row>
    <row r="191" spans="1:11" x14ac:dyDescent="0.3">
      <c r="A191" s="15" t="s">
        <v>260</v>
      </c>
      <c r="B191" s="17">
        <v>15285</v>
      </c>
      <c r="C191" s="20" t="s">
        <v>405</v>
      </c>
      <c r="D191" s="15" t="s">
        <v>458</v>
      </c>
      <c r="E191" s="18">
        <v>0.18</v>
      </c>
      <c r="F191" s="18">
        <v>0.65</v>
      </c>
      <c r="G191" s="17">
        <v>1788.345</v>
      </c>
      <c r="H191" s="17">
        <v>148.432635</v>
      </c>
      <c r="I191" s="17">
        <v>3576.69</v>
      </c>
      <c r="J191" s="20" t="s">
        <v>477</v>
      </c>
      <c r="K191" s="18">
        <v>0.11700000000000001</v>
      </c>
    </row>
    <row r="192" spans="1:11" x14ac:dyDescent="0.3">
      <c r="A192" s="9" t="s">
        <v>261</v>
      </c>
      <c r="B192" s="11">
        <v>8084</v>
      </c>
      <c r="C192" s="14" t="s">
        <v>405</v>
      </c>
      <c r="D192" s="9" t="s">
        <v>458</v>
      </c>
      <c r="E192" s="12">
        <v>0.18</v>
      </c>
      <c r="F192" s="12">
        <v>0.65</v>
      </c>
      <c r="G192" s="11">
        <v>945.82799999999997</v>
      </c>
      <c r="H192" s="11">
        <v>78.503724000000005</v>
      </c>
      <c r="I192" s="11">
        <v>1891.6559999999999</v>
      </c>
      <c r="J192" s="14" t="s">
        <v>477</v>
      </c>
      <c r="K192" s="12">
        <v>0.11700000000000001</v>
      </c>
    </row>
    <row r="193" spans="1:11" x14ac:dyDescent="0.3">
      <c r="A193" s="15" t="s">
        <v>262</v>
      </c>
      <c r="B193" s="17">
        <v>14817</v>
      </c>
      <c r="C193" s="20" t="s">
        <v>405</v>
      </c>
      <c r="D193" s="15" t="s">
        <v>458</v>
      </c>
      <c r="E193" s="18">
        <v>0.18</v>
      </c>
      <c r="F193" s="18">
        <v>0.65</v>
      </c>
      <c r="G193" s="17">
        <v>1733.5889999999999</v>
      </c>
      <c r="H193" s="17">
        <v>143.88788700000001</v>
      </c>
      <c r="I193" s="17">
        <v>3467.1779999999999</v>
      </c>
      <c r="J193" s="20" t="s">
        <v>477</v>
      </c>
      <c r="K193" s="18">
        <v>0.11700000000000001</v>
      </c>
    </row>
    <row r="194" spans="1:11" x14ac:dyDescent="0.3">
      <c r="A194" s="9" t="s">
        <v>263</v>
      </c>
      <c r="B194" s="11">
        <v>19660</v>
      </c>
      <c r="C194" s="14" t="s">
        <v>405</v>
      </c>
      <c r="D194" s="9" t="s">
        <v>458</v>
      </c>
      <c r="E194" s="12">
        <v>0.18</v>
      </c>
      <c r="F194" s="12">
        <v>0.65</v>
      </c>
      <c r="G194" s="11">
        <v>2300.2199999999998</v>
      </c>
      <c r="H194" s="11">
        <v>190.91826</v>
      </c>
      <c r="I194" s="11">
        <v>4600.4399999999996</v>
      </c>
      <c r="J194" s="14" t="s">
        <v>477</v>
      </c>
      <c r="K194" s="12">
        <v>0.11700000000000001</v>
      </c>
    </row>
    <row r="195" spans="1:11" x14ac:dyDescent="0.3">
      <c r="A195" s="15" t="s">
        <v>264</v>
      </c>
      <c r="B195" s="17">
        <v>1138</v>
      </c>
      <c r="C195" s="20" t="s">
        <v>405</v>
      </c>
      <c r="D195" s="15" t="s">
        <v>458</v>
      </c>
      <c r="E195" s="18">
        <v>0.18</v>
      </c>
      <c r="F195" s="18">
        <v>0.65</v>
      </c>
      <c r="G195" s="17">
        <v>133.14599999999999</v>
      </c>
      <c r="H195" s="17">
        <v>11.051118000000001</v>
      </c>
      <c r="I195" s="17">
        <v>266.29199999999997</v>
      </c>
      <c r="J195" s="20" t="s">
        <v>477</v>
      </c>
      <c r="K195" s="18">
        <v>0.11700000000000001</v>
      </c>
    </row>
    <row r="196" spans="1:11" x14ac:dyDescent="0.3">
      <c r="A196" s="9" t="s">
        <v>265</v>
      </c>
      <c r="B196" s="11">
        <v>10293</v>
      </c>
      <c r="C196" s="14" t="s">
        <v>405</v>
      </c>
      <c r="D196" s="9" t="s">
        <v>458</v>
      </c>
      <c r="E196" s="12">
        <v>0.18</v>
      </c>
      <c r="F196" s="12">
        <v>0.65</v>
      </c>
      <c r="G196" s="11">
        <v>1204.2809999999999</v>
      </c>
      <c r="H196" s="11">
        <v>99.955323000000007</v>
      </c>
      <c r="I196" s="11">
        <v>2408.5619999999999</v>
      </c>
      <c r="J196" s="14" t="s">
        <v>477</v>
      </c>
      <c r="K196" s="12">
        <v>0.11700000000000001</v>
      </c>
    </row>
    <row r="197" spans="1:11" x14ac:dyDescent="0.3">
      <c r="A197" s="15" t="s">
        <v>266</v>
      </c>
      <c r="B197" s="17">
        <v>14100</v>
      </c>
      <c r="C197" s="39" t="s">
        <v>402</v>
      </c>
      <c r="D197" s="15" t="s">
        <v>453</v>
      </c>
      <c r="E197" s="18">
        <v>0.08</v>
      </c>
      <c r="F197" s="18">
        <v>0.55000000000000004</v>
      </c>
      <c r="G197" s="17">
        <v>620.4</v>
      </c>
      <c r="H197" s="17">
        <v>51.493200000000002</v>
      </c>
      <c r="I197" s="17">
        <v>620.4</v>
      </c>
      <c r="J197" s="66" t="s">
        <v>478</v>
      </c>
      <c r="K197" s="18">
        <v>4.3999999999999997E-2</v>
      </c>
    </row>
    <row r="198" spans="1:11" x14ac:dyDescent="0.3">
      <c r="A198" s="9" t="s">
        <v>267</v>
      </c>
      <c r="B198" s="11">
        <v>17941</v>
      </c>
      <c r="C198" s="38" t="s">
        <v>402</v>
      </c>
      <c r="D198" s="9" t="s">
        <v>453</v>
      </c>
      <c r="E198" s="12">
        <v>0.08</v>
      </c>
      <c r="F198" s="12">
        <v>0.55000000000000004</v>
      </c>
      <c r="G198" s="11">
        <v>789.404</v>
      </c>
      <c r="H198" s="11">
        <v>65.520532000000003</v>
      </c>
      <c r="I198" s="11">
        <v>789.404</v>
      </c>
      <c r="J198" s="65" t="s">
        <v>478</v>
      </c>
      <c r="K198" s="12">
        <v>4.3999999999999997E-2</v>
      </c>
    </row>
    <row r="199" spans="1:11" x14ac:dyDescent="0.3">
      <c r="A199" s="15" t="s">
        <v>268</v>
      </c>
      <c r="B199" s="17">
        <v>19565</v>
      </c>
      <c r="C199" s="20" t="s">
        <v>405</v>
      </c>
      <c r="D199" s="15" t="s">
        <v>458</v>
      </c>
      <c r="E199" s="18">
        <v>0.18</v>
      </c>
      <c r="F199" s="18">
        <v>0.65</v>
      </c>
      <c r="G199" s="17">
        <v>2289.105</v>
      </c>
      <c r="H199" s="17">
        <v>189.99571499999999</v>
      </c>
      <c r="I199" s="17">
        <v>4578.21</v>
      </c>
      <c r="J199" s="20" t="s">
        <v>477</v>
      </c>
      <c r="K199" s="18">
        <v>0.11700000000000001</v>
      </c>
    </row>
    <row r="200" spans="1:11" x14ac:dyDescent="0.3">
      <c r="A200" s="9" t="s">
        <v>269</v>
      </c>
      <c r="B200" s="11">
        <v>15113</v>
      </c>
      <c r="C200" s="38" t="s">
        <v>402</v>
      </c>
      <c r="D200" s="9" t="s">
        <v>453</v>
      </c>
      <c r="E200" s="12">
        <v>0.08</v>
      </c>
      <c r="F200" s="12">
        <v>0.55000000000000004</v>
      </c>
      <c r="G200" s="11">
        <v>664.97199999999998</v>
      </c>
      <c r="H200" s="11">
        <v>55.192675999999999</v>
      </c>
      <c r="I200" s="11">
        <v>664.97199999999998</v>
      </c>
      <c r="J200" s="65" t="s">
        <v>478</v>
      </c>
      <c r="K200" s="12">
        <v>4.3999999999999997E-2</v>
      </c>
    </row>
    <row r="201" spans="1:11" x14ac:dyDescent="0.3">
      <c r="A201" s="15" t="s">
        <v>270</v>
      </c>
      <c r="B201" s="17">
        <v>24047</v>
      </c>
      <c r="C201" s="20" t="s">
        <v>405</v>
      </c>
      <c r="D201" s="15" t="s">
        <v>458</v>
      </c>
      <c r="E201" s="18">
        <v>0.18</v>
      </c>
      <c r="F201" s="18">
        <v>0.65</v>
      </c>
      <c r="G201" s="17">
        <v>2813.4989999999998</v>
      </c>
      <c r="H201" s="17">
        <v>233.52041700000001</v>
      </c>
      <c r="I201" s="17">
        <v>5626.9979999999996</v>
      </c>
      <c r="J201" s="20" t="s">
        <v>477</v>
      </c>
      <c r="K201" s="18">
        <v>0.11700000000000001</v>
      </c>
    </row>
    <row r="202" spans="1:11" x14ac:dyDescent="0.3">
      <c r="A202" s="9" t="s">
        <v>271</v>
      </c>
      <c r="B202" s="11">
        <v>20998</v>
      </c>
      <c r="C202" s="14" t="s">
        <v>405</v>
      </c>
      <c r="D202" s="9" t="s">
        <v>458</v>
      </c>
      <c r="E202" s="12">
        <v>0.18</v>
      </c>
      <c r="F202" s="12">
        <v>0.65</v>
      </c>
      <c r="G202" s="11">
        <v>2456.7660000000001</v>
      </c>
      <c r="H202" s="11">
        <v>203.91157799999999</v>
      </c>
      <c r="I202" s="11">
        <v>4913.5320000000002</v>
      </c>
      <c r="J202" s="14" t="s">
        <v>477</v>
      </c>
      <c r="K202" s="12">
        <v>0.11700000000000001</v>
      </c>
    </row>
    <row r="203" spans="1:11" x14ac:dyDescent="0.3">
      <c r="A203" s="15" t="s">
        <v>272</v>
      </c>
      <c r="B203" s="17">
        <v>17039</v>
      </c>
      <c r="C203" s="20" t="s">
        <v>405</v>
      </c>
      <c r="D203" s="15" t="s">
        <v>458</v>
      </c>
      <c r="E203" s="18">
        <v>0.18</v>
      </c>
      <c r="F203" s="18">
        <v>0.65</v>
      </c>
      <c r="G203" s="17">
        <v>1993.5630000000001</v>
      </c>
      <c r="H203" s="17">
        <v>165.46572900000001</v>
      </c>
      <c r="I203" s="17">
        <v>3987.1260000000002</v>
      </c>
      <c r="J203" s="20" t="s">
        <v>477</v>
      </c>
      <c r="K203" s="18">
        <v>0.11700000000000001</v>
      </c>
    </row>
    <row r="204" spans="1:11" x14ac:dyDescent="0.3">
      <c r="A204" s="9" t="s">
        <v>273</v>
      </c>
      <c r="B204" s="11">
        <v>25150</v>
      </c>
      <c r="C204" s="14" t="s">
        <v>405</v>
      </c>
      <c r="D204" s="9" t="s">
        <v>458</v>
      </c>
      <c r="E204" s="12">
        <v>0.18</v>
      </c>
      <c r="F204" s="12">
        <v>0.65</v>
      </c>
      <c r="G204" s="11">
        <v>2942.55</v>
      </c>
      <c r="H204" s="11">
        <v>244.23165</v>
      </c>
      <c r="I204" s="11">
        <v>5885.1</v>
      </c>
      <c r="J204" s="14" t="s">
        <v>477</v>
      </c>
      <c r="K204" s="12">
        <v>0.11700000000000001</v>
      </c>
    </row>
    <row r="205" spans="1:11" x14ac:dyDescent="0.3">
      <c r="A205" s="15" t="s">
        <v>274</v>
      </c>
      <c r="B205" s="17">
        <v>24496</v>
      </c>
      <c r="C205" s="20" t="s">
        <v>405</v>
      </c>
      <c r="D205" s="15" t="s">
        <v>458</v>
      </c>
      <c r="E205" s="18">
        <v>0.18</v>
      </c>
      <c r="F205" s="18">
        <v>0.65</v>
      </c>
      <c r="G205" s="17">
        <v>2866.0320000000002</v>
      </c>
      <c r="H205" s="17">
        <v>237.88065599999999</v>
      </c>
      <c r="I205" s="17">
        <v>5732.0640000000003</v>
      </c>
      <c r="J205" s="20" t="s">
        <v>477</v>
      </c>
      <c r="K205" s="18">
        <v>0.11700000000000001</v>
      </c>
    </row>
    <row r="206" spans="1:11" x14ac:dyDescent="0.3">
      <c r="A206" s="9" t="s">
        <v>275</v>
      </c>
      <c r="B206" s="11">
        <v>8370</v>
      </c>
      <c r="C206" s="14" t="s">
        <v>405</v>
      </c>
      <c r="D206" s="9" t="s">
        <v>458</v>
      </c>
      <c r="E206" s="12">
        <v>0.18</v>
      </c>
      <c r="F206" s="12">
        <v>0.65</v>
      </c>
      <c r="G206" s="11">
        <v>979.29</v>
      </c>
      <c r="H206" s="11">
        <v>81.28107</v>
      </c>
      <c r="I206" s="11">
        <v>1958.58</v>
      </c>
      <c r="J206" s="14" t="s">
        <v>477</v>
      </c>
      <c r="K206" s="12">
        <v>0.11700000000000001</v>
      </c>
    </row>
    <row r="207" spans="1:11" x14ac:dyDescent="0.3">
      <c r="A207" s="15" t="s">
        <v>276</v>
      </c>
      <c r="B207" s="17">
        <v>19744</v>
      </c>
      <c r="C207" s="20" t="s">
        <v>405</v>
      </c>
      <c r="D207" s="15" t="s">
        <v>458</v>
      </c>
      <c r="E207" s="18">
        <v>0.18</v>
      </c>
      <c r="F207" s="18">
        <v>0.65</v>
      </c>
      <c r="G207" s="17">
        <v>2310.0479999999998</v>
      </c>
      <c r="H207" s="17">
        <v>191.73398399999999</v>
      </c>
      <c r="I207" s="17">
        <v>4620.0959999999995</v>
      </c>
      <c r="J207" s="20" t="s">
        <v>477</v>
      </c>
      <c r="K207" s="18">
        <v>0.11700000000000001</v>
      </c>
    </row>
    <row r="208" spans="1:11" x14ac:dyDescent="0.3">
      <c r="A208" s="9" t="s">
        <v>277</v>
      </c>
      <c r="B208" s="11">
        <v>27122</v>
      </c>
      <c r="C208" s="14" t="s">
        <v>405</v>
      </c>
      <c r="D208" s="9" t="s">
        <v>458</v>
      </c>
      <c r="E208" s="12">
        <v>0.18</v>
      </c>
      <c r="F208" s="12">
        <v>0.65</v>
      </c>
      <c r="G208" s="11">
        <v>3173.2739999999999</v>
      </c>
      <c r="H208" s="11">
        <v>263.38174199999997</v>
      </c>
      <c r="I208" s="11">
        <v>6346.5479999999998</v>
      </c>
      <c r="J208" s="14" t="s">
        <v>477</v>
      </c>
      <c r="K208" s="12">
        <v>0.11700000000000001</v>
      </c>
    </row>
    <row r="209" spans="1:11" x14ac:dyDescent="0.3">
      <c r="A209" s="15" t="s">
        <v>278</v>
      </c>
      <c r="B209" s="17">
        <v>28460</v>
      </c>
      <c r="C209" s="20" t="s">
        <v>405</v>
      </c>
      <c r="D209" s="15" t="s">
        <v>458</v>
      </c>
      <c r="E209" s="18">
        <v>0.18</v>
      </c>
      <c r="F209" s="18">
        <v>0.65</v>
      </c>
      <c r="G209" s="17">
        <v>3329.82</v>
      </c>
      <c r="H209" s="17">
        <v>276.37506000000002</v>
      </c>
      <c r="I209" s="17">
        <v>6659.64</v>
      </c>
      <c r="J209" s="20" t="s">
        <v>477</v>
      </c>
      <c r="K209" s="18">
        <v>0.11700000000000001</v>
      </c>
    </row>
    <row r="210" spans="1:11" x14ac:dyDescent="0.3">
      <c r="A210" s="9" t="s">
        <v>279</v>
      </c>
      <c r="B210" s="11">
        <v>22967</v>
      </c>
      <c r="C210" s="14" t="s">
        <v>405</v>
      </c>
      <c r="D210" s="9" t="s">
        <v>458</v>
      </c>
      <c r="E210" s="12">
        <v>0.18</v>
      </c>
      <c r="F210" s="12">
        <v>0.65</v>
      </c>
      <c r="G210" s="11">
        <v>2687.1390000000001</v>
      </c>
      <c r="H210" s="11">
        <v>223.03253699999999</v>
      </c>
      <c r="I210" s="11">
        <v>5374.2780000000002</v>
      </c>
      <c r="J210" s="14" t="s">
        <v>477</v>
      </c>
      <c r="K210" s="12">
        <v>0.11700000000000001</v>
      </c>
    </row>
    <row r="211" spans="1:11" x14ac:dyDescent="0.3">
      <c r="A211" s="15" t="s">
        <v>280</v>
      </c>
      <c r="B211" s="17">
        <v>18134</v>
      </c>
      <c r="C211" s="20" t="s">
        <v>405</v>
      </c>
      <c r="D211" s="15" t="s">
        <v>458</v>
      </c>
      <c r="E211" s="18">
        <v>0.18</v>
      </c>
      <c r="F211" s="18">
        <v>0.65</v>
      </c>
      <c r="G211" s="17">
        <v>2121.6779999999999</v>
      </c>
      <c r="H211" s="17">
        <v>176.09927400000001</v>
      </c>
      <c r="I211" s="17">
        <v>4243.3559999999998</v>
      </c>
      <c r="J211" s="20" t="s">
        <v>477</v>
      </c>
      <c r="K211" s="18">
        <v>0.11700000000000001</v>
      </c>
    </row>
    <row r="212" spans="1:11" x14ac:dyDescent="0.3">
      <c r="A212" s="9" t="s">
        <v>281</v>
      </c>
      <c r="B212" s="11">
        <v>23371</v>
      </c>
      <c r="C212" s="14" t="s">
        <v>405</v>
      </c>
      <c r="D212" s="9" t="s">
        <v>458</v>
      </c>
      <c r="E212" s="12">
        <v>0.18</v>
      </c>
      <c r="F212" s="12">
        <v>0.65</v>
      </c>
      <c r="G212" s="11">
        <v>2734.4070000000002</v>
      </c>
      <c r="H212" s="11">
        <v>226.955781</v>
      </c>
      <c r="I212" s="11">
        <v>5468.8140000000003</v>
      </c>
      <c r="J212" s="14" t="s">
        <v>477</v>
      </c>
      <c r="K212" s="12">
        <v>0.11700000000000001</v>
      </c>
    </row>
    <row r="213" spans="1:11" x14ac:dyDescent="0.3">
      <c r="A213" s="15" t="s">
        <v>282</v>
      </c>
      <c r="B213" s="17">
        <v>26462</v>
      </c>
      <c r="C213" s="20" t="s">
        <v>405</v>
      </c>
      <c r="D213" s="15" t="s">
        <v>458</v>
      </c>
      <c r="E213" s="18">
        <v>0.18</v>
      </c>
      <c r="F213" s="18">
        <v>0.65</v>
      </c>
      <c r="G213" s="17">
        <v>3096.0540000000001</v>
      </c>
      <c r="H213" s="17">
        <v>256.97248200000001</v>
      </c>
      <c r="I213" s="17">
        <v>6192.1080000000002</v>
      </c>
      <c r="J213" s="20" t="s">
        <v>477</v>
      </c>
      <c r="K213" s="18">
        <v>0.11700000000000001</v>
      </c>
    </row>
    <row r="214" spans="1:11" x14ac:dyDescent="0.3">
      <c r="A214" s="9" t="s">
        <v>283</v>
      </c>
      <c r="B214" s="11">
        <v>20927</v>
      </c>
      <c r="C214" s="14" t="s">
        <v>405</v>
      </c>
      <c r="D214" s="9" t="s">
        <v>458</v>
      </c>
      <c r="E214" s="12">
        <v>0.18</v>
      </c>
      <c r="F214" s="12">
        <v>0.65</v>
      </c>
      <c r="G214" s="11">
        <v>2448.4589999999998</v>
      </c>
      <c r="H214" s="11">
        <v>203.22209699999999</v>
      </c>
      <c r="I214" s="11">
        <v>4896.9179999999997</v>
      </c>
      <c r="J214" s="14" t="s">
        <v>477</v>
      </c>
      <c r="K214" s="12">
        <v>0.11700000000000001</v>
      </c>
    </row>
    <row r="215" spans="1:11" x14ac:dyDescent="0.3">
      <c r="A215" s="15" t="s">
        <v>284</v>
      </c>
      <c r="B215" s="17">
        <v>21829</v>
      </c>
      <c r="C215" s="20" t="s">
        <v>405</v>
      </c>
      <c r="D215" s="15" t="s">
        <v>458</v>
      </c>
      <c r="E215" s="18">
        <v>0.18</v>
      </c>
      <c r="F215" s="18">
        <v>0.65</v>
      </c>
      <c r="G215" s="17">
        <v>2553.9929999999999</v>
      </c>
      <c r="H215" s="17">
        <v>211.98141899999999</v>
      </c>
      <c r="I215" s="17">
        <v>5107.9859999999999</v>
      </c>
      <c r="J215" s="20" t="s">
        <v>477</v>
      </c>
      <c r="K215" s="18">
        <v>0.11700000000000001</v>
      </c>
    </row>
    <row r="216" spans="1:11" x14ac:dyDescent="0.3">
      <c r="A216" s="9" t="s">
        <v>285</v>
      </c>
      <c r="B216" s="11">
        <v>18002</v>
      </c>
      <c r="C216" s="14" t="s">
        <v>405</v>
      </c>
      <c r="D216" s="9" t="s">
        <v>458</v>
      </c>
      <c r="E216" s="12">
        <v>0.18</v>
      </c>
      <c r="F216" s="12">
        <v>0.65</v>
      </c>
      <c r="G216" s="11">
        <v>2106.2339999999999</v>
      </c>
      <c r="H216" s="11">
        <v>174.81742199999999</v>
      </c>
      <c r="I216" s="11">
        <v>4212.4679999999998</v>
      </c>
      <c r="J216" s="14" t="s">
        <v>477</v>
      </c>
      <c r="K216" s="12">
        <v>0.11700000000000001</v>
      </c>
    </row>
    <row r="217" spans="1:11" x14ac:dyDescent="0.3">
      <c r="A217" s="15" t="s">
        <v>286</v>
      </c>
      <c r="B217" s="17">
        <v>9306</v>
      </c>
      <c r="C217" s="39" t="s">
        <v>402</v>
      </c>
      <c r="D217" s="15" t="s">
        <v>453</v>
      </c>
      <c r="E217" s="18">
        <v>0.08</v>
      </c>
      <c r="F217" s="18">
        <v>0.55000000000000004</v>
      </c>
      <c r="G217" s="17">
        <v>409.464</v>
      </c>
      <c r="H217" s="17">
        <v>33.985512</v>
      </c>
      <c r="I217" s="17">
        <v>409.464</v>
      </c>
      <c r="J217" s="66" t="s">
        <v>478</v>
      </c>
      <c r="K217" s="18">
        <v>4.3999999999999997E-2</v>
      </c>
    </row>
    <row r="218" spans="1:11" x14ac:dyDescent="0.3">
      <c r="A218" s="9" t="s">
        <v>287</v>
      </c>
      <c r="B218" s="11">
        <v>18605</v>
      </c>
      <c r="C218" s="14" t="s">
        <v>405</v>
      </c>
      <c r="D218" s="9" t="s">
        <v>458</v>
      </c>
      <c r="E218" s="12">
        <v>0.18</v>
      </c>
      <c r="F218" s="12">
        <v>0.65</v>
      </c>
      <c r="G218" s="11">
        <v>2176.7849999999999</v>
      </c>
      <c r="H218" s="11">
        <v>180.67315500000001</v>
      </c>
      <c r="I218" s="11">
        <v>4353.57</v>
      </c>
      <c r="J218" s="14" t="s">
        <v>477</v>
      </c>
      <c r="K218" s="12">
        <v>0.11700000000000001</v>
      </c>
    </row>
    <row r="219" spans="1:11" x14ac:dyDescent="0.3">
      <c r="A219" s="15" t="s">
        <v>288</v>
      </c>
      <c r="B219" s="17">
        <v>14583</v>
      </c>
      <c r="C219" s="20" t="s">
        <v>405</v>
      </c>
      <c r="D219" s="15" t="s">
        <v>458</v>
      </c>
      <c r="E219" s="18">
        <v>0.18</v>
      </c>
      <c r="F219" s="18">
        <v>0.65</v>
      </c>
      <c r="G219" s="17">
        <v>1706.211</v>
      </c>
      <c r="H219" s="17">
        <v>141.61551299999999</v>
      </c>
      <c r="I219" s="17">
        <v>3412.422</v>
      </c>
      <c r="J219" s="20" t="s">
        <v>477</v>
      </c>
      <c r="K219" s="18">
        <v>0.11700000000000001</v>
      </c>
    </row>
    <row r="220" spans="1:11" x14ac:dyDescent="0.3">
      <c r="A220" s="9" t="s">
        <v>289</v>
      </c>
      <c r="B220" s="11">
        <v>14609</v>
      </c>
      <c r="C220" s="14" t="s">
        <v>405</v>
      </c>
      <c r="D220" s="9" t="s">
        <v>458</v>
      </c>
      <c r="E220" s="12">
        <v>0.18</v>
      </c>
      <c r="F220" s="12">
        <v>0.65</v>
      </c>
      <c r="G220" s="11">
        <v>1709.2529999999999</v>
      </c>
      <c r="H220" s="11">
        <v>141.867999</v>
      </c>
      <c r="I220" s="11">
        <v>3418.5059999999999</v>
      </c>
      <c r="J220" s="14" t="s">
        <v>477</v>
      </c>
      <c r="K220" s="12">
        <v>0.11700000000000001</v>
      </c>
    </row>
    <row r="221" spans="1:11" x14ac:dyDescent="0.3">
      <c r="A221" s="15" t="s">
        <v>290</v>
      </c>
      <c r="B221" s="17">
        <v>31471</v>
      </c>
      <c r="C221" s="20" t="s">
        <v>405</v>
      </c>
      <c r="D221" s="15" t="s">
        <v>458</v>
      </c>
      <c r="E221" s="18">
        <v>0.18</v>
      </c>
      <c r="F221" s="18">
        <v>0.65</v>
      </c>
      <c r="G221" s="17">
        <v>3682.107</v>
      </c>
      <c r="H221" s="17">
        <v>305.61488100000003</v>
      </c>
      <c r="I221" s="17">
        <v>7364.2139999999999</v>
      </c>
      <c r="J221" s="20" t="s">
        <v>477</v>
      </c>
      <c r="K221" s="18">
        <v>0.11700000000000001</v>
      </c>
    </row>
  </sheetData>
  <mergeCells count="5">
    <mergeCell ref="A2:N2"/>
    <mergeCell ref="A3:N3"/>
    <mergeCell ref="A5:H5"/>
    <mergeCell ref="A12:I12"/>
    <mergeCell ref="A20:K20"/>
  </mergeCells>
  <pageMargins left="0.75" right="0.75" top="1" bottom="1" header="0.511811023622047" footer="0.511811023622047"/>
  <pageSetup paperSize="9" scale="76" fitToHeight="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N28"/>
  <sheetViews>
    <sheetView showGridLines="0" zoomScale="70" zoomScaleNormal="70" workbookViewId="0">
      <selection activeCell="A2" sqref="A2:I28"/>
    </sheetView>
  </sheetViews>
  <sheetFormatPr defaultColWidth="8.6640625" defaultRowHeight="14.4" x14ac:dyDescent="0.3"/>
  <cols>
    <col min="1" max="1" width="18" customWidth="1"/>
    <col min="2" max="2" width="18.33203125" customWidth="1"/>
    <col min="3" max="3" width="20.109375" customWidth="1"/>
    <col min="4" max="4" width="18.109375" customWidth="1"/>
    <col min="5" max="5" width="20.109375" customWidth="1"/>
    <col min="6" max="6" width="17" customWidth="1"/>
    <col min="7" max="7" width="10" customWidth="1"/>
    <col min="8" max="8" width="18" customWidth="1"/>
    <col min="9" max="9" width="13" customWidth="1"/>
  </cols>
  <sheetData>
    <row r="1" spans="1:14" ht="9.75" customHeight="1" x14ac:dyDescent="0.3"/>
    <row r="2" spans="1:14" ht="36" customHeight="1" x14ac:dyDescent="0.3">
      <c r="A2" s="102" t="s">
        <v>480</v>
      </c>
      <c r="B2" s="102"/>
      <c r="C2" s="102"/>
      <c r="D2" s="102"/>
      <c r="E2" s="102"/>
      <c r="F2" s="102"/>
      <c r="G2" s="102"/>
      <c r="H2" s="102"/>
      <c r="I2" s="102"/>
      <c r="J2" s="96"/>
      <c r="K2" s="96"/>
      <c r="L2" s="96"/>
      <c r="M2" s="96"/>
      <c r="N2" s="96"/>
    </row>
    <row r="3" spans="1:14" ht="19.5" customHeight="1" x14ac:dyDescent="0.3">
      <c r="A3" s="103" t="s">
        <v>481</v>
      </c>
      <c r="B3" s="103"/>
      <c r="C3" s="103"/>
      <c r="D3" s="103"/>
      <c r="E3" s="103"/>
      <c r="F3" s="103"/>
      <c r="G3" s="103"/>
      <c r="H3" s="103"/>
      <c r="I3" s="103"/>
      <c r="J3" s="97"/>
      <c r="K3" s="97"/>
      <c r="L3" s="97"/>
      <c r="M3" s="97"/>
      <c r="N3" s="97"/>
    </row>
    <row r="4" spans="1:14" ht="7.5" customHeight="1" x14ac:dyDescent="0.3"/>
    <row r="5" spans="1:14" ht="15" customHeight="1" x14ac:dyDescent="0.3">
      <c r="A5" s="111" t="s">
        <v>482</v>
      </c>
      <c r="B5" s="112"/>
      <c r="C5" s="112"/>
      <c r="D5" s="112"/>
      <c r="E5" s="112"/>
      <c r="F5" s="112"/>
      <c r="G5" s="112"/>
      <c r="H5" s="112"/>
      <c r="I5" s="113"/>
      <c r="J5" s="98"/>
    </row>
    <row r="6" spans="1:14" ht="35.4" customHeight="1" x14ac:dyDescent="0.3">
      <c r="A6" s="27" t="s">
        <v>483</v>
      </c>
      <c r="B6" s="27" t="s">
        <v>484</v>
      </c>
      <c r="C6" s="27" t="s">
        <v>485</v>
      </c>
      <c r="D6" s="27" t="s">
        <v>486</v>
      </c>
      <c r="E6" s="27" t="s">
        <v>487</v>
      </c>
      <c r="F6" s="27" t="s">
        <v>488</v>
      </c>
      <c r="G6" s="27" t="s">
        <v>489</v>
      </c>
      <c r="H6" s="27" t="s">
        <v>490</v>
      </c>
    </row>
    <row r="7" spans="1:14" x14ac:dyDescent="0.3">
      <c r="A7" s="30" t="s">
        <v>491</v>
      </c>
      <c r="B7" s="67">
        <v>0</v>
      </c>
      <c r="C7" s="68">
        <v>1</v>
      </c>
      <c r="D7" s="69">
        <v>0</v>
      </c>
      <c r="E7" s="69">
        <v>0</v>
      </c>
      <c r="F7" s="69">
        <v>0</v>
      </c>
      <c r="G7" s="70" t="s">
        <v>492</v>
      </c>
      <c r="H7" s="70" t="s">
        <v>493</v>
      </c>
    </row>
    <row r="8" spans="1:14" x14ac:dyDescent="0.3">
      <c r="A8" s="33" t="s">
        <v>494</v>
      </c>
      <c r="B8" s="67">
        <v>0.02</v>
      </c>
      <c r="C8" s="68">
        <v>1.2</v>
      </c>
      <c r="D8" s="69">
        <v>0.05</v>
      </c>
      <c r="E8" s="69">
        <v>0.05</v>
      </c>
      <c r="F8" s="69">
        <v>0.05</v>
      </c>
      <c r="G8" s="71" t="s">
        <v>495</v>
      </c>
      <c r="H8" s="71" t="s">
        <v>496</v>
      </c>
    </row>
    <row r="9" spans="1:14" x14ac:dyDescent="0.3">
      <c r="A9" s="35" t="s">
        <v>497</v>
      </c>
      <c r="B9" s="67">
        <v>0.04</v>
      </c>
      <c r="C9" s="68">
        <v>1.5</v>
      </c>
      <c r="D9" s="69">
        <v>0.15</v>
      </c>
      <c r="E9" s="69">
        <v>0.15</v>
      </c>
      <c r="F9" s="69">
        <v>0.15</v>
      </c>
      <c r="G9" s="72" t="s">
        <v>498</v>
      </c>
      <c r="H9" s="72" t="s">
        <v>496</v>
      </c>
    </row>
    <row r="10" spans="1:14" x14ac:dyDescent="0.3">
      <c r="A10" s="73" t="s">
        <v>499</v>
      </c>
      <c r="B10" s="67">
        <v>0.01</v>
      </c>
      <c r="C10" s="68">
        <v>1.3</v>
      </c>
      <c r="D10" s="69">
        <v>0.08</v>
      </c>
      <c r="E10" s="69">
        <v>0.1</v>
      </c>
      <c r="F10" s="69">
        <v>0.08</v>
      </c>
      <c r="G10" s="74" t="s">
        <v>500</v>
      </c>
      <c r="H10" s="74" t="s">
        <v>496</v>
      </c>
    </row>
    <row r="13" spans="1:14" ht="15" customHeight="1" x14ac:dyDescent="0.3">
      <c r="A13" s="114" t="s">
        <v>501</v>
      </c>
      <c r="B13" s="114"/>
      <c r="C13" s="114"/>
      <c r="D13" s="114"/>
      <c r="E13" s="114"/>
      <c r="F13" s="114"/>
      <c r="G13" s="114"/>
      <c r="H13" s="114"/>
      <c r="I13" s="114"/>
      <c r="J13" s="99"/>
    </row>
    <row r="14" spans="1:14" ht="28.2" customHeight="1" x14ac:dyDescent="0.3">
      <c r="A14" s="27" t="s">
        <v>483</v>
      </c>
      <c r="B14" s="27" t="s">
        <v>502</v>
      </c>
      <c r="C14" s="27" t="s">
        <v>464</v>
      </c>
      <c r="D14" s="27" t="s">
        <v>503</v>
      </c>
      <c r="E14" s="27" t="s">
        <v>504</v>
      </c>
      <c r="F14" s="27" t="s">
        <v>505</v>
      </c>
      <c r="G14" s="27" t="s">
        <v>506</v>
      </c>
      <c r="H14" s="27" t="s">
        <v>507</v>
      </c>
      <c r="I14" s="27" t="s">
        <v>508</v>
      </c>
    </row>
    <row r="15" spans="1:14" x14ac:dyDescent="0.3">
      <c r="A15" s="70" t="s">
        <v>491</v>
      </c>
      <c r="B15" s="75">
        <v>200</v>
      </c>
      <c r="C15" s="76">
        <v>3750559</v>
      </c>
      <c r="D15" s="76">
        <v>412373.64</v>
      </c>
      <c r="E15" s="76">
        <v>412373.64</v>
      </c>
      <c r="F15" s="76">
        <v>0</v>
      </c>
      <c r="G15" s="77">
        <v>2.3E-2</v>
      </c>
      <c r="H15" s="76">
        <v>3750559</v>
      </c>
      <c r="I15" s="78">
        <v>1.3743739266599999</v>
      </c>
    </row>
    <row r="16" spans="1:14" x14ac:dyDescent="0.3">
      <c r="A16" s="33" t="s">
        <v>494</v>
      </c>
      <c r="B16" s="79">
        <v>200</v>
      </c>
      <c r="C16" s="80">
        <v>3750559</v>
      </c>
      <c r="D16" s="80">
        <v>412373.64</v>
      </c>
      <c r="E16" s="80">
        <v>504745.33536000003</v>
      </c>
      <c r="F16" s="81">
        <v>92371.695359999998</v>
      </c>
      <c r="G16" s="82">
        <v>2.76E-2</v>
      </c>
      <c r="H16" s="80">
        <v>4313142.8499999996</v>
      </c>
      <c r="I16" s="83">
        <v>1.6822336862318401</v>
      </c>
    </row>
    <row r="17" spans="1:9" x14ac:dyDescent="0.3">
      <c r="A17" s="35" t="s">
        <v>497</v>
      </c>
      <c r="B17" s="84">
        <v>200</v>
      </c>
      <c r="C17" s="81">
        <v>3750559</v>
      </c>
      <c r="D17" s="81">
        <v>412373.64</v>
      </c>
      <c r="E17" s="81">
        <v>643302.87840000005</v>
      </c>
      <c r="F17" s="81">
        <v>230929.2384</v>
      </c>
      <c r="G17" s="85">
        <v>3.2199999999999999E-2</v>
      </c>
      <c r="H17" s="81">
        <v>4875726.7</v>
      </c>
      <c r="I17" s="86">
        <v>2.1440233255896</v>
      </c>
    </row>
    <row r="18" spans="1:9" x14ac:dyDescent="0.3">
      <c r="A18" s="73" t="s">
        <v>509</v>
      </c>
      <c r="B18" s="87">
        <v>200</v>
      </c>
      <c r="C18" s="88">
        <v>3750559</v>
      </c>
      <c r="D18" s="88">
        <v>412373.64</v>
      </c>
      <c r="E18" s="88">
        <v>552168.30396000005</v>
      </c>
      <c r="F18" s="81">
        <v>139794.66396000001</v>
      </c>
      <c r="G18" s="89">
        <v>3.6799999999999999E-2</v>
      </c>
      <c r="H18" s="88">
        <v>5438310.5499999998</v>
      </c>
      <c r="I18" s="90">
        <v>1.84028668779774</v>
      </c>
    </row>
    <row r="21" spans="1:9" ht="15" customHeight="1" x14ac:dyDescent="0.3">
      <c r="A21" s="104" t="s">
        <v>510</v>
      </c>
      <c r="B21" s="104"/>
      <c r="C21" s="104"/>
      <c r="D21" s="104"/>
      <c r="E21" s="104"/>
    </row>
    <row r="22" spans="1:9" ht="21.75" customHeight="1" x14ac:dyDescent="0.3">
      <c r="A22" s="27" t="s">
        <v>511</v>
      </c>
      <c r="B22" s="27" t="s">
        <v>512</v>
      </c>
      <c r="C22" s="27" t="s">
        <v>513</v>
      </c>
      <c r="D22" s="27" t="s">
        <v>514</v>
      </c>
      <c r="E22" s="27" t="s">
        <v>515</v>
      </c>
    </row>
    <row r="23" spans="1:9" x14ac:dyDescent="0.3">
      <c r="A23" s="9" t="s">
        <v>506</v>
      </c>
      <c r="B23" s="9" t="s">
        <v>516</v>
      </c>
      <c r="C23" s="9" t="s">
        <v>517</v>
      </c>
      <c r="D23" s="9" t="s">
        <v>518</v>
      </c>
      <c r="E23" s="35" t="s">
        <v>519</v>
      </c>
    </row>
    <row r="24" spans="1:9" x14ac:dyDescent="0.3">
      <c r="A24" s="15" t="s">
        <v>476</v>
      </c>
      <c r="B24" s="15" t="s">
        <v>520</v>
      </c>
      <c r="C24" s="15" t="s">
        <v>521</v>
      </c>
      <c r="D24" s="100">
        <v>0.54300000000000004</v>
      </c>
      <c r="E24" s="35" t="s">
        <v>522</v>
      </c>
    </row>
    <row r="25" spans="1:9" x14ac:dyDescent="0.3">
      <c r="A25" s="9" t="s">
        <v>523</v>
      </c>
      <c r="B25" s="9" t="s">
        <v>524</v>
      </c>
      <c r="C25" s="9" t="s">
        <v>525</v>
      </c>
      <c r="D25" s="9" t="s">
        <v>526</v>
      </c>
      <c r="E25" s="35" t="s">
        <v>527</v>
      </c>
    </row>
    <row r="26" spans="1:9" ht="26.4" x14ac:dyDescent="0.3">
      <c r="A26" s="15" t="s">
        <v>528</v>
      </c>
      <c r="B26" s="15" t="s">
        <v>529</v>
      </c>
      <c r="C26" s="15" t="s">
        <v>530</v>
      </c>
      <c r="D26" s="100">
        <v>0.115</v>
      </c>
      <c r="E26" s="35" t="s">
        <v>531</v>
      </c>
    </row>
    <row r="27" spans="1:9" ht="26.4" x14ac:dyDescent="0.3">
      <c r="A27" s="9" t="s">
        <v>532</v>
      </c>
      <c r="B27" s="9" t="s">
        <v>533</v>
      </c>
      <c r="C27" s="9" t="s">
        <v>534</v>
      </c>
      <c r="D27" s="9" t="s">
        <v>535</v>
      </c>
      <c r="E27" s="35" t="s">
        <v>536</v>
      </c>
    </row>
    <row r="28" spans="1:9" ht="26.4" x14ac:dyDescent="0.3">
      <c r="A28" s="15" t="s">
        <v>537</v>
      </c>
      <c r="B28" s="15" t="s">
        <v>538</v>
      </c>
      <c r="C28" s="15" t="s">
        <v>539</v>
      </c>
      <c r="D28" s="15" t="s">
        <v>540</v>
      </c>
      <c r="E28" s="35" t="s">
        <v>541</v>
      </c>
    </row>
  </sheetData>
  <mergeCells count="5">
    <mergeCell ref="A21:E21"/>
    <mergeCell ref="A2:I2"/>
    <mergeCell ref="A3:I3"/>
    <mergeCell ref="A5:I5"/>
    <mergeCell ref="A13:I13"/>
  </mergeCells>
  <pageMargins left="0.75" right="0.75" top="1" bottom="1" header="0.511811023622047" footer="0.511811023622047"/>
  <pageSetup paperSize="9" scale="80" fitToHeight="0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W15"/>
  <sheetViews>
    <sheetView showGridLines="0" zoomScale="55" zoomScaleNormal="55" workbookViewId="0">
      <selection activeCell="A2" sqref="A2:W36"/>
    </sheetView>
  </sheetViews>
  <sheetFormatPr defaultColWidth="8.6640625" defaultRowHeight="14.4" x14ac:dyDescent="0.3"/>
  <cols>
    <col min="1" max="3" width="13" customWidth="1"/>
    <col min="4" max="4" width="40" customWidth="1"/>
    <col min="5" max="7" width="13" customWidth="1"/>
    <col min="8" max="8" width="36" customWidth="1"/>
    <col min="9" max="11" width="13" customWidth="1"/>
    <col min="12" max="12" width="25.88671875" customWidth="1"/>
    <col min="13" max="20" width="13" customWidth="1"/>
  </cols>
  <sheetData>
    <row r="1" spans="1:23" ht="9.75" customHeight="1" x14ac:dyDescent="0.3"/>
    <row r="2" spans="1:23" ht="36" customHeight="1" x14ac:dyDescent="0.3">
      <c r="A2" s="102" t="s">
        <v>542</v>
      </c>
      <c r="B2" s="102"/>
      <c r="C2" s="102"/>
      <c r="D2" s="102"/>
      <c r="E2" s="102"/>
      <c r="F2" s="102"/>
      <c r="G2" s="102"/>
      <c r="H2" s="102"/>
      <c r="I2" s="102"/>
      <c r="J2" s="102"/>
      <c r="K2" s="102"/>
      <c r="L2" s="102"/>
      <c r="M2" s="102"/>
      <c r="N2" s="102"/>
      <c r="O2" s="102"/>
      <c r="P2" s="102"/>
      <c r="Q2" s="102"/>
      <c r="R2" s="102"/>
      <c r="S2" s="102"/>
      <c r="T2" s="102"/>
      <c r="U2" s="102"/>
      <c r="V2" s="102"/>
      <c r="W2" s="102"/>
    </row>
    <row r="3" spans="1:23" ht="19.5" customHeight="1" x14ac:dyDescent="0.3">
      <c r="A3" s="103" t="s">
        <v>543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</row>
    <row r="4" spans="1:23" ht="7.5" customHeight="1" x14ac:dyDescent="0.3"/>
    <row r="5" spans="1:23" ht="15" customHeight="1" x14ac:dyDescent="0.3">
      <c r="A5" s="125" t="s">
        <v>502</v>
      </c>
      <c r="B5" s="125"/>
      <c r="D5" s="126" t="s">
        <v>544</v>
      </c>
      <c r="E5" s="126"/>
      <c r="G5" s="127" t="s">
        <v>545</v>
      </c>
      <c r="H5" s="127"/>
      <c r="J5" s="125" t="s">
        <v>546</v>
      </c>
      <c r="K5" s="125"/>
      <c r="M5" s="116" t="s">
        <v>547</v>
      </c>
      <c r="N5" s="116"/>
      <c r="P5" s="128" t="s">
        <v>548</v>
      </c>
      <c r="Q5" s="128"/>
      <c r="S5" s="115" t="s">
        <v>506</v>
      </c>
      <c r="T5" s="115"/>
      <c r="V5" s="116" t="s">
        <v>549</v>
      </c>
      <c r="W5" s="116"/>
    </row>
    <row r="6" spans="1:23" ht="17.399999999999999" x14ac:dyDescent="0.3">
      <c r="A6" s="117">
        <v>200</v>
      </c>
      <c r="B6" s="117"/>
      <c r="D6" s="118">
        <v>3750559</v>
      </c>
      <c r="E6" s="118"/>
      <c r="G6" s="119">
        <v>577.255</v>
      </c>
      <c r="H6" s="119"/>
      <c r="J6" s="120">
        <v>0.1361</v>
      </c>
      <c r="K6" s="120"/>
      <c r="M6" s="121">
        <v>412373.64</v>
      </c>
      <c r="N6" s="121"/>
      <c r="P6" s="122">
        <v>0.17499999999999999</v>
      </c>
      <c r="Q6" s="122"/>
      <c r="S6" s="123">
        <v>2.3E-2</v>
      </c>
      <c r="T6" s="123"/>
      <c r="V6" s="124">
        <v>177</v>
      </c>
      <c r="W6" s="124"/>
    </row>
    <row r="7" spans="1:23" ht="15" customHeight="1" x14ac:dyDescent="0.3">
      <c r="A7" s="129" t="s">
        <v>550</v>
      </c>
      <c r="B7" s="129"/>
      <c r="D7" s="129" t="s">
        <v>550</v>
      </c>
      <c r="E7" s="129"/>
      <c r="G7" s="129" t="s">
        <v>550</v>
      </c>
      <c r="H7" s="129"/>
      <c r="J7" s="129" t="s">
        <v>550</v>
      </c>
      <c r="K7" s="129"/>
      <c r="M7" s="129" t="s">
        <v>550</v>
      </c>
      <c r="N7" s="129"/>
      <c r="P7" s="129" t="s">
        <v>550</v>
      </c>
      <c r="Q7" s="129"/>
      <c r="S7" s="129" t="s">
        <v>550</v>
      </c>
      <c r="T7" s="129"/>
      <c r="V7" s="129" t="s">
        <v>550</v>
      </c>
      <c r="W7" s="129"/>
    </row>
    <row r="10" spans="1:23" ht="15" customHeight="1" x14ac:dyDescent="0.3">
      <c r="A10" s="104" t="s">
        <v>551</v>
      </c>
      <c r="B10" s="104"/>
      <c r="C10" s="104"/>
      <c r="E10" s="104" t="s">
        <v>552</v>
      </c>
      <c r="F10" s="104"/>
      <c r="G10" s="104"/>
      <c r="I10" s="104" t="s">
        <v>553</v>
      </c>
      <c r="J10" s="104"/>
      <c r="K10" s="104"/>
      <c r="M10" s="104" t="s">
        <v>554</v>
      </c>
      <c r="N10" s="104"/>
      <c r="O10" s="104"/>
      <c r="P10" s="104"/>
    </row>
    <row r="11" spans="1:23" ht="21.75" customHeight="1" x14ac:dyDescent="0.3">
      <c r="A11" s="27" t="s">
        <v>393</v>
      </c>
      <c r="B11" s="27" t="s">
        <v>555</v>
      </c>
      <c r="C11" s="27" t="s">
        <v>467</v>
      </c>
      <c r="E11" s="27" t="s">
        <v>359</v>
      </c>
      <c r="F11" s="27" t="s">
        <v>555</v>
      </c>
      <c r="G11" s="27" t="s">
        <v>556</v>
      </c>
      <c r="I11" s="27" t="s">
        <v>69</v>
      </c>
      <c r="J11" s="27" t="s">
        <v>464</v>
      </c>
      <c r="K11" s="27" t="s">
        <v>545</v>
      </c>
      <c r="M11" s="27" t="s">
        <v>483</v>
      </c>
      <c r="N11" s="27" t="s">
        <v>473</v>
      </c>
      <c r="O11" s="27" t="s">
        <v>508</v>
      </c>
      <c r="P11" s="27" t="s">
        <v>7</v>
      </c>
    </row>
    <row r="12" spans="1:23" x14ac:dyDescent="0.3">
      <c r="A12" s="53" t="s">
        <v>399</v>
      </c>
      <c r="B12" s="55">
        <v>2</v>
      </c>
      <c r="C12" s="56">
        <v>234.26400000000001</v>
      </c>
      <c r="E12" s="53" t="s">
        <v>95</v>
      </c>
      <c r="F12" s="55">
        <v>62</v>
      </c>
      <c r="G12" s="56">
        <v>233.02935483870999</v>
      </c>
      <c r="I12" s="9" t="s">
        <v>92</v>
      </c>
      <c r="J12" s="11">
        <v>845877</v>
      </c>
      <c r="K12" s="91">
        <v>561.17021276595699</v>
      </c>
      <c r="M12" s="53" t="s">
        <v>557</v>
      </c>
      <c r="N12" s="56">
        <v>412373.64</v>
      </c>
      <c r="O12" s="57">
        <v>8.3000000000000004E-2</v>
      </c>
      <c r="P12" s="53" t="s">
        <v>558</v>
      </c>
    </row>
    <row r="13" spans="1:23" ht="26.4" x14ac:dyDescent="0.3">
      <c r="A13" s="54" t="s">
        <v>402</v>
      </c>
      <c r="B13" s="58">
        <v>21</v>
      </c>
      <c r="C13" s="59">
        <v>14013.647999999999</v>
      </c>
      <c r="E13" s="54" t="s">
        <v>84</v>
      </c>
      <c r="F13" s="58">
        <v>62</v>
      </c>
      <c r="G13" s="59">
        <v>911.16166935483898</v>
      </c>
      <c r="I13" s="15" t="s">
        <v>78</v>
      </c>
      <c r="J13" s="17">
        <v>912383</v>
      </c>
      <c r="K13" s="92">
        <v>574.367346938776</v>
      </c>
      <c r="M13" s="54" t="s">
        <v>513</v>
      </c>
      <c r="N13" s="59">
        <v>504745.33536000003</v>
      </c>
      <c r="O13" s="60">
        <v>0.112</v>
      </c>
      <c r="P13" s="54" t="s">
        <v>559</v>
      </c>
    </row>
    <row r="14" spans="1:23" ht="26.4" x14ac:dyDescent="0.3">
      <c r="A14" s="49" t="s">
        <v>405</v>
      </c>
      <c r="B14" s="50">
        <v>177</v>
      </c>
      <c r="C14" s="61">
        <v>398125.728</v>
      </c>
      <c r="E14" s="49" t="s">
        <v>79</v>
      </c>
      <c r="F14" s="50">
        <v>76</v>
      </c>
      <c r="G14" s="61">
        <v>3004.79819078947</v>
      </c>
      <c r="I14" s="9" t="s">
        <v>90</v>
      </c>
      <c r="J14" s="11">
        <v>897084</v>
      </c>
      <c r="K14" s="91">
        <v>579.70588235294099</v>
      </c>
      <c r="M14" s="49" t="s">
        <v>514</v>
      </c>
      <c r="N14" s="61">
        <v>643302.87840000005</v>
      </c>
      <c r="O14" s="51">
        <v>0.16700000000000001</v>
      </c>
      <c r="P14" s="49" t="s">
        <v>560</v>
      </c>
    </row>
    <row r="15" spans="1:23" ht="26.4" x14ac:dyDescent="0.3">
      <c r="I15" s="15" t="s">
        <v>83</v>
      </c>
      <c r="J15" s="17">
        <v>1095215</v>
      </c>
      <c r="K15" s="92">
        <v>591.830188679245</v>
      </c>
      <c r="M15" s="93" t="s">
        <v>500</v>
      </c>
      <c r="N15" s="94">
        <v>552168.30396000005</v>
      </c>
      <c r="O15" s="95">
        <v>0.14000000000000001</v>
      </c>
      <c r="P15" s="93" t="s">
        <v>559</v>
      </c>
    </row>
  </sheetData>
  <sheetProtection algorithmName="SHA-512" hashValue="UbeQQLVzNv3enUFJhX9PMzPHMYgR+fT3s33SOGY3QBtGCvCKIR3Xsf39vVwiVR+Dx5UdcGasapVAYFLILtlXMw==" saltValue="2XU0jeV1zokkPFDfIaiTxQ==" spinCount="100000" sheet="1" objects="1" scenarios="1"/>
  <mergeCells count="30">
    <mergeCell ref="A10:C10"/>
    <mergeCell ref="E10:G10"/>
    <mergeCell ref="I10:K10"/>
    <mergeCell ref="M10:P10"/>
    <mergeCell ref="A7:B7"/>
    <mergeCell ref="D7:E7"/>
    <mergeCell ref="G7:H7"/>
    <mergeCell ref="J7:K7"/>
    <mergeCell ref="M7:N7"/>
    <mergeCell ref="M5:N5"/>
    <mergeCell ref="P5:Q5"/>
    <mergeCell ref="P7:Q7"/>
    <mergeCell ref="S7:T7"/>
    <mergeCell ref="V7:W7"/>
    <mergeCell ref="A2:W2"/>
    <mergeCell ref="A3:W3"/>
    <mergeCell ref="S5:T5"/>
    <mergeCell ref="V5:W5"/>
    <mergeCell ref="A6:B6"/>
    <mergeCell ref="D6:E6"/>
    <mergeCell ref="G6:H6"/>
    <mergeCell ref="J6:K6"/>
    <mergeCell ref="M6:N6"/>
    <mergeCell ref="P6:Q6"/>
    <mergeCell ref="S6:T6"/>
    <mergeCell ref="V6:W6"/>
    <mergeCell ref="A5:B5"/>
    <mergeCell ref="D5:E5"/>
    <mergeCell ref="G5:H5"/>
    <mergeCell ref="J5:K5"/>
  </mergeCells>
  <pageMargins left="0.75" right="0.75" top="1" bottom="1" header="0.511811023622047" footer="0.511811023622047"/>
  <pageSetup paperSize="9" scale="37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📋 Contents</vt:lpstr>
      <vt:lpstr>1. Raw Loan Data</vt:lpstr>
      <vt:lpstr>2. Data Cleaning</vt:lpstr>
      <vt:lpstr>3. Credit Risk Scorecard</vt:lpstr>
      <vt:lpstr>4. PD Model</vt:lpstr>
      <vt:lpstr>5. ECL Model</vt:lpstr>
      <vt:lpstr>6. Stress Testing</vt:lpstr>
      <vt:lpstr>7. 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Tarun Kashni</cp:lastModifiedBy>
  <cp:revision>1</cp:revision>
  <cp:lastPrinted>2026-04-25T13:42:49Z</cp:lastPrinted>
  <dcterms:created xsi:type="dcterms:W3CDTF">2026-04-25T01:10:31Z</dcterms:created>
  <dcterms:modified xsi:type="dcterms:W3CDTF">2026-04-25T13:42:54Z</dcterms:modified>
  <dc:language>en-US</dc:language>
</cp:coreProperties>
</file>